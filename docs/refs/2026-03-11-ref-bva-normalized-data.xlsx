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lm_models" sheetId="1" state="visible" r:id="rId3"/>
    <sheet name="llm_compliance" sheetId="2" state="visible" r:id="rId4"/>
    <sheet name="llm_self_hosting" sheetId="3" state="visible" r:id="rId5"/>
    <sheet name="v_tco_simulation" sheetId="4" state="visible" r:id="rId6"/>
    <sheet name="Data_Dictionary" sheetId="5" state="visible" r:id="rId7"/>
  </sheets>
  <definedNames>
    <definedName function="false" hidden="true" localSheetId="0" name="_xlnm._FilterDatabase" vbProcedure="false">llm_models!$A$3:$AI$3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<sst xmlns="http://schemas.openxmlformats.org/spreadsheetml/2006/main" count="941" uniqueCount="232">
  <si>
    <r>
      <rPr>
        <b val="true"/>
        <sz val="14"/>
        <color rgb="FF1A1A2E"/>
        <rFont val="Arial"/>
        <family val="0"/>
        <charset val="1"/>
      </rPr>
      <t xml:space="preserve">llm_models — LLM </t>
    </r>
    <r>
      <rPr>
        <b val="true"/>
        <sz val="14"/>
        <color rgb="FF1A1A2E"/>
        <rFont val="DejaVu Sans"/>
        <family val="2"/>
      </rPr>
      <t xml:space="preserve">통합 메인 테이블 </t>
    </r>
    <r>
      <rPr>
        <b val="true"/>
        <sz val="14"/>
        <color rgb="FF1A1A2E"/>
        <rFont val="Arial"/>
        <family val="0"/>
        <charset val="1"/>
      </rPr>
      <t xml:space="preserve">(Commercial 18 + OSS 12 = 30 models)</t>
    </r>
  </si>
  <si>
    <t xml:space="preserve">IDENTITY</t>
  </si>
  <si>
    <t xml:space="preserve">CAPACITY</t>
  </si>
  <si>
    <t xml:space="preserve">COST</t>
  </si>
  <si>
    <t xml:space="preserve">BENCHMARK</t>
  </si>
  <si>
    <t xml:space="preserve">PERFORMANCE</t>
  </si>
  <si>
    <t xml:space="preserve">CAPABILITY</t>
  </si>
  <si>
    <t xml:space="preserve">SECURITY</t>
  </si>
  <si>
    <t xml:space="preserve">BVA_SCORE</t>
  </si>
  <si>
    <t xml:space="preserve">model_name</t>
  </si>
  <si>
    <t xml:space="preserve">provider</t>
  </si>
  <si>
    <t xml:space="preserve">release_date</t>
  </si>
  <si>
    <t xml:space="preserve">model_type</t>
  </si>
  <si>
    <t xml:space="preserve">category</t>
  </si>
  <si>
    <t xml:space="preserve">parameters</t>
  </si>
  <si>
    <t xml:space="preserve">context_window_k</t>
  </si>
  <si>
    <t xml:space="preserve">max_output_tokens</t>
  </si>
  <si>
    <t xml:space="preserve">input_dollar_per_m</t>
  </si>
  <si>
    <t xml:space="preserve">output_dollar_per_m</t>
  </si>
  <si>
    <t xml:space="preserve">rate_limit_tpm</t>
  </si>
  <si>
    <t xml:space="preserve">sla_percent</t>
  </si>
  <si>
    <t xml:space="preserve">mmlu_score</t>
  </si>
  <si>
    <t xml:space="preserve">kmmlu_score</t>
  </si>
  <si>
    <t xml:space="preserve">hallucination_rate</t>
  </si>
  <si>
    <t xml:space="preserve">ttft_sec</t>
  </si>
  <si>
    <t xml:space="preserve">throughput_tps</t>
  </si>
  <si>
    <t xml:space="preserve">korean_support</t>
  </si>
  <si>
    <t xml:space="preserve">multimodal</t>
  </si>
  <si>
    <t xml:space="preserve">function_calling</t>
  </si>
  <si>
    <t xml:space="preserve">json_mode</t>
  </si>
  <si>
    <t xml:space="preserve">streaming</t>
  </si>
  <si>
    <t xml:space="preserve">fine_tuning</t>
  </si>
  <si>
    <t xml:space="preserve">embedding_model</t>
  </si>
  <si>
    <t xml:space="preserve">guardrails_builtin</t>
  </si>
  <si>
    <t xml:space="preserve">pii_masking</t>
  </si>
  <si>
    <t xml:space="preserve">bva_response_quality</t>
  </si>
  <si>
    <t xml:space="preserve">bva_cost_efficiency</t>
  </si>
  <si>
    <t xml:space="preserve">bva_korean_naturalness</t>
  </si>
  <si>
    <t xml:space="preserve">bva_domain_expertise</t>
  </si>
  <si>
    <t xml:space="preserve">bva_response_speed</t>
  </si>
  <si>
    <t xml:space="preserve">bva_stability</t>
  </si>
  <si>
    <t xml:space="preserve">bva_security_compliance</t>
  </si>
  <si>
    <t xml:space="preserve">bva_anti_hallucination</t>
  </si>
  <si>
    <t xml:space="preserve">bva_weighted_score</t>
  </si>
  <si>
    <t xml:space="preserve">GPT-5.2</t>
  </si>
  <si>
    <t xml:space="preserve">OpenAI</t>
  </si>
  <si>
    <t xml:space="preserve">2026-02</t>
  </si>
  <si>
    <t xml:space="preserve">COMMERCIAL</t>
  </si>
  <si>
    <t xml:space="preserve">GLOBAL</t>
  </si>
  <si>
    <t xml:space="preserve">Y</t>
  </si>
  <si>
    <t xml:space="preserve">Full/LoRA</t>
  </si>
  <si>
    <t xml:space="preserve">text-embedding-3-large</t>
  </si>
  <si>
    <t xml:space="preserve">GPT-5.2 Pro</t>
  </si>
  <si>
    <t xml:space="preserve">N/A</t>
  </si>
  <si>
    <t xml:space="preserve">GPT-5 mini</t>
  </si>
  <si>
    <t xml:space="preserve">2025-10</t>
  </si>
  <si>
    <t xml:space="preserve">GPT-5 nano</t>
  </si>
  <si>
    <t xml:space="preserve">N</t>
  </si>
  <si>
    <t xml:space="preserve">LoRA</t>
  </si>
  <si>
    <t xml:space="preserve">PARTIAL</t>
  </si>
  <si>
    <t xml:space="preserve">O3 Pro</t>
  </si>
  <si>
    <t xml:space="preserve">2025-12</t>
  </si>
  <si>
    <t xml:space="preserve">Claude Opus 4.6</t>
  </si>
  <si>
    <t xml:space="preserve">Anthropic</t>
  </si>
  <si>
    <t xml:space="preserve">voyage-3-large</t>
  </si>
  <si>
    <t xml:space="preserve">Claude Sonnet 4.5</t>
  </si>
  <si>
    <t xml:space="preserve">Claude Haiku 4.5</t>
  </si>
  <si>
    <t xml:space="preserve">Gemini 3.1 Pro</t>
  </si>
  <si>
    <t xml:space="preserve">Google</t>
  </si>
  <si>
    <t xml:space="preserve">2026-03</t>
  </si>
  <si>
    <t xml:space="preserve">text-embedding-005</t>
  </si>
  <si>
    <t xml:space="preserve">Gemini 2.5 Pro</t>
  </si>
  <si>
    <t xml:space="preserve">2025-09</t>
  </si>
  <si>
    <t xml:space="preserve">Gemini 2.5 Flash</t>
  </si>
  <si>
    <t xml:space="preserve">Gemini 2.0 Flash</t>
  </si>
  <si>
    <t xml:space="preserve">2025-06</t>
  </si>
  <si>
    <t xml:space="preserve">Grok 4</t>
  </si>
  <si>
    <t xml:space="preserve">xAI</t>
  </si>
  <si>
    <t xml:space="preserve">Grok 4.1 Fast</t>
  </si>
  <si>
    <t xml:space="preserve">SOLAR Pro 3</t>
  </si>
  <si>
    <t xml:space="preserve">Upstage</t>
  </si>
  <si>
    <t xml:space="preserve">2026-01</t>
  </si>
  <si>
    <t xml:space="preserve">KR_DOMESTIC</t>
  </si>
  <si>
    <t xml:space="preserve">102B MoE(12B)</t>
  </si>
  <si>
    <t xml:space="preserve">NATIVE</t>
  </si>
  <si>
    <t xml:space="preserve">Solar Embedding</t>
  </si>
  <si>
    <t xml:space="preserve">SOLAR Pro 2</t>
  </si>
  <si>
    <t xml:space="preserve">22B</t>
  </si>
  <si>
    <t xml:space="preserve">K-EXAONE</t>
  </si>
  <si>
    <t xml:space="preserve">LG AI Research</t>
  </si>
  <si>
    <t xml:space="preserve">236B MoE(23B)</t>
  </si>
  <si>
    <t xml:space="preserve">Exaone 4.0 32B</t>
  </si>
  <si>
    <t xml:space="preserve">2025-07</t>
  </si>
  <si>
    <t xml:space="preserve">32B</t>
  </si>
  <si>
    <t xml:space="preserve">Qwen3.5 397B</t>
  </si>
  <si>
    <t xml:space="preserve">Alibaba</t>
  </si>
  <si>
    <t xml:space="preserve">OSS</t>
  </si>
  <si>
    <t xml:space="preserve">397B MoE(17B)</t>
  </si>
  <si>
    <t xml:space="preserve">Qwen3.5 Flash</t>
  </si>
  <si>
    <t xml:space="preserve">MoE</t>
  </si>
  <si>
    <t xml:space="preserve">Qwen3.5 35B</t>
  </si>
  <si>
    <t xml:space="preserve">35B MoE(3B)</t>
  </si>
  <si>
    <t xml:space="preserve">Qwen3 Max</t>
  </si>
  <si>
    <t xml:space="preserve">Qwen3 32B</t>
  </si>
  <si>
    <t xml:space="preserve">2025-04</t>
  </si>
  <si>
    <t xml:space="preserve">DeepSeek-V3.2</t>
  </si>
  <si>
    <t xml:space="preserve">DeepSeek</t>
  </si>
  <si>
    <t xml:space="preserve">685B MoE(37B)</t>
  </si>
  <si>
    <t xml:space="preserve">DeepSeek-R1</t>
  </si>
  <si>
    <t xml:space="preserve">671B MoE(37B)</t>
  </si>
  <si>
    <t xml:space="preserve">GLM-5</t>
  </si>
  <si>
    <t xml:space="preserve">Z.ai</t>
  </si>
  <si>
    <t xml:space="preserve">744B MoE(40B)</t>
  </si>
  <si>
    <t xml:space="preserve">GLM-4.5</t>
  </si>
  <si>
    <t xml:space="preserve">355B MoE(32B)</t>
  </si>
  <si>
    <t xml:space="preserve">GLM-4.5 Air</t>
  </si>
  <si>
    <t xml:space="preserve">106B MoE(12B)</t>
  </si>
  <si>
    <t xml:space="preserve">Kimi K2.5</t>
  </si>
  <si>
    <t xml:space="preserve">Moonshot</t>
  </si>
  <si>
    <t xml:space="preserve">1T MoE</t>
  </si>
  <si>
    <t xml:space="preserve">Kimi K2</t>
  </si>
  <si>
    <r>
      <rPr>
        <b val="true"/>
        <sz val="14"/>
        <color rgb="FF1A1A2E"/>
        <rFont val="Arial"/>
        <family val="0"/>
        <charset val="1"/>
      </rPr>
      <t xml:space="preserve">llm_compliance — Commercial </t>
    </r>
    <r>
      <rPr>
        <b val="true"/>
        <sz val="14"/>
        <color rgb="FF1A1A2E"/>
        <rFont val="DejaVu Sans"/>
        <family val="2"/>
      </rPr>
      <t xml:space="preserve">확장 </t>
    </r>
    <r>
      <rPr>
        <b val="true"/>
        <sz val="14"/>
        <color rgb="FF1A1A2E"/>
        <rFont val="Arial"/>
        <family val="0"/>
        <charset val="1"/>
      </rPr>
      <t xml:space="preserve">(18 models, FK: model_name → llm_models)</t>
    </r>
  </si>
  <si>
    <t xml:space="preserve">soc2_certified</t>
  </si>
  <si>
    <t xml:space="preserve">hipaa_baa</t>
  </si>
  <si>
    <t xml:space="preserve">data_residency_kr</t>
  </si>
  <si>
    <t xml:space="preserve">Y(Azure)</t>
  </si>
  <si>
    <t xml:space="preserve">Y(Azure Korea)</t>
  </si>
  <si>
    <t xml:space="preserve">Y(AWS)</t>
  </si>
  <si>
    <t xml:space="preserve">Y(AWS Seoul)</t>
  </si>
  <si>
    <t xml:space="preserve">Y(GCP)</t>
  </si>
  <si>
    <t xml:space="preserve">Y(GCP Seoul)</t>
  </si>
  <si>
    <t xml:space="preserve">INQUIRE</t>
  </si>
  <si>
    <t xml:space="preserve">NATIVE(KR)</t>
  </si>
  <si>
    <r>
      <rPr>
        <b val="true"/>
        <sz val="14"/>
        <color rgb="FF1A1A2E"/>
        <rFont val="Arial"/>
        <family val="0"/>
        <charset val="1"/>
      </rPr>
      <t xml:space="preserve">llm_self_hosting — OSS </t>
    </r>
    <r>
      <rPr>
        <b val="true"/>
        <sz val="14"/>
        <color rgb="FF1A1A2E"/>
        <rFont val="DejaVu Sans"/>
        <family val="2"/>
      </rPr>
      <t xml:space="preserve">확장 </t>
    </r>
    <r>
      <rPr>
        <b val="true"/>
        <sz val="14"/>
        <color rgb="FF1A1A2E"/>
        <rFont val="Arial"/>
        <family val="0"/>
        <charset val="1"/>
      </rPr>
      <t xml:space="preserve">(12 models, FK: model_name → llm_models)</t>
    </r>
  </si>
  <si>
    <t xml:space="preserve">license_type</t>
  </si>
  <si>
    <t xml:space="preserve">self_host_difficulty</t>
  </si>
  <si>
    <t xml:space="preserve">self_host_gpu_spec</t>
  </si>
  <si>
    <t xml:space="preserve">self_host_monthly_usd</t>
  </si>
  <si>
    <t xml:space="preserve">self_host_monthly_krw</t>
  </si>
  <si>
    <t xml:space="preserve">Apache 2.0</t>
  </si>
  <si>
    <t xml:space="preserve">HIGH</t>
  </si>
  <si>
    <t xml:space="preserve">8x A100 80GB</t>
  </si>
  <si>
    <t xml:space="preserve">LOW</t>
  </si>
  <si>
    <t xml:space="preserve">1x A100 80GB</t>
  </si>
  <si>
    <t xml:space="preserve">MIT</t>
  </si>
  <si>
    <t xml:space="preserve">Open Source</t>
  </si>
  <si>
    <t xml:space="preserve">MED</t>
  </si>
  <si>
    <t xml:space="preserve">2x A100 80GB</t>
  </si>
  <si>
    <t xml:space="preserve">8x H100 80GB</t>
  </si>
  <si>
    <r>
      <rPr>
        <b val="true"/>
        <sz val="14"/>
        <color rgb="FF1A1A2E"/>
        <rFont val="Arial"/>
        <family val="0"/>
        <charset val="1"/>
      </rPr>
      <t xml:space="preserve">v_tco_simulation — </t>
    </r>
    <r>
      <rPr>
        <b val="true"/>
        <sz val="14"/>
        <color rgb="FF1A1A2E"/>
        <rFont val="DejaVu Sans"/>
        <family val="2"/>
      </rPr>
      <t xml:space="preserve">월간 </t>
    </r>
    <r>
      <rPr>
        <b val="true"/>
        <sz val="14"/>
        <color rgb="FF1A1A2E"/>
        <rFont val="Arial"/>
        <family val="0"/>
        <charset val="1"/>
      </rPr>
      <t xml:space="preserve">TCO (100K</t>
    </r>
    <r>
      <rPr>
        <b val="true"/>
        <sz val="14"/>
        <color rgb="FF1A1A2E"/>
        <rFont val="DejaVu Sans"/>
        <family val="2"/>
      </rPr>
      <t xml:space="preserve">건</t>
    </r>
    <r>
      <rPr>
        <b val="true"/>
        <sz val="14"/>
        <color rgb="FF1A1A2E"/>
        <rFont val="Arial"/>
        <family val="0"/>
        <charset val="1"/>
      </rPr>
      <t xml:space="preserve">, USD 1 = KRW 1,350)</t>
    </r>
  </si>
  <si>
    <t xml:space="preserve">rank</t>
  </si>
  <si>
    <t xml:space="preserve">monthly_api_cost_usd</t>
  </si>
  <si>
    <t xml:space="preserve">monthly_api_cost_krw</t>
  </si>
  <si>
    <t xml:space="preserve">cost_efficiency_grade</t>
  </si>
  <si>
    <r>
      <rPr>
        <b val="true"/>
        <sz val="14"/>
        <color rgb="FF1A1A2E"/>
        <rFont val="Arial"/>
        <family val="0"/>
        <charset val="1"/>
      </rPr>
      <t xml:space="preserve">Data Dictionary — </t>
    </r>
    <r>
      <rPr>
        <b val="true"/>
        <sz val="14"/>
        <color rgb="FF1A1A2E"/>
        <rFont val="DejaVu Sans"/>
        <family val="2"/>
      </rPr>
      <t xml:space="preserve">테이블별 컬럼 정의 </t>
    </r>
    <r>
      <rPr>
        <b val="true"/>
        <sz val="14"/>
        <color rgb="FF1A1A2E"/>
        <rFont val="Arial"/>
        <family val="0"/>
        <charset val="1"/>
      </rPr>
      <t xml:space="preserve">&amp; ENUM</t>
    </r>
  </si>
  <si>
    <t xml:space="preserve">table_name</t>
  </si>
  <si>
    <t xml:space="preserve">column_name</t>
  </si>
  <si>
    <t xml:space="preserve">data_type</t>
  </si>
  <si>
    <t xml:space="preserve">constraints</t>
  </si>
  <si>
    <t xml:space="preserve">description</t>
  </si>
  <si>
    <t xml:space="preserve">llm_models</t>
  </si>
  <si>
    <t xml:space="preserve">VARCHAR(100)</t>
  </si>
  <si>
    <t xml:space="preserve">PK, NOT NULL</t>
  </si>
  <si>
    <t xml:space="preserve">모델 고유 식별자</t>
  </si>
  <si>
    <t xml:space="preserve">VARCHAR(50)</t>
  </si>
  <si>
    <t xml:space="preserve">NOT NULL</t>
  </si>
  <si>
    <t xml:space="preserve">제공사</t>
  </si>
  <si>
    <t xml:space="preserve">VARCHAR(7)</t>
  </si>
  <si>
    <r>
      <rPr>
        <sz val="10"/>
        <rFont val="DejaVu Sans"/>
        <family val="2"/>
      </rPr>
      <t xml:space="preserve">출시일 </t>
    </r>
    <r>
      <rPr>
        <sz val="10"/>
        <rFont val="Arial"/>
        <family val="0"/>
        <charset val="1"/>
      </rPr>
      <t xml:space="preserve">(YYYY-MM)</t>
    </r>
  </si>
  <si>
    <t xml:space="preserve">ENUM('COMMERCIAL','OSS')</t>
  </si>
  <si>
    <r>
      <rPr>
        <sz val="10"/>
        <rFont val="DejaVu Sans"/>
        <family val="2"/>
      </rPr>
      <t xml:space="preserve">상용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오픈소스</t>
    </r>
  </si>
  <si>
    <t xml:space="preserve">ENUM('GLOBAL','KR_DOMESTIC','OSS')</t>
  </si>
  <si>
    <t xml:space="preserve">시장 카테고리</t>
  </si>
  <si>
    <t xml:space="preserve">VARCHAR(30)</t>
  </si>
  <si>
    <t xml:space="preserve">NULLABLE</t>
  </si>
  <si>
    <r>
      <rPr>
        <sz val="10"/>
        <rFont val="DejaVu Sans"/>
        <family val="2"/>
      </rPr>
      <t xml:space="preserve">파라미터 </t>
    </r>
    <r>
      <rPr>
        <sz val="10"/>
        <rFont val="Arial"/>
        <family val="0"/>
        <charset val="1"/>
      </rPr>
      <t xml:space="preserve">(32B, 400B MoE </t>
    </r>
    <r>
      <rPr>
        <sz val="10"/>
        <rFont val="DejaVu Sans"/>
        <family val="2"/>
      </rPr>
      <t xml:space="preserve">등</t>
    </r>
    <r>
      <rPr>
        <sz val="10"/>
        <rFont val="Arial"/>
        <family val="0"/>
        <charset val="1"/>
      </rPr>
      <t xml:space="preserve">)</t>
    </r>
  </si>
  <si>
    <t xml:space="preserve">INT</t>
  </si>
  <si>
    <r>
      <rPr>
        <sz val="10"/>
        <rFont val="DejaVu Sans"/>
        <family val="2"/>
      </rPr>
      <t xml:space="preserve">컨텍스트 윈도우 </t>
    </r>
    <r>
      <rPr>
        <sz val="10"/>
        <rFont val="Arial"/>
        <family val="0"/>
        <charset val="1"/>
      </rPr>
      <t xml:space="preserve">(K tokens)</t>
    </r>
  </si>
  <si>
    <t xml:space="preserve">최대 출력 토큰</t>
  </si>
  <si>
    <t xml:space="preserve">DECIMAL(10,4)</t>
  </si>
  <si>
    <r>
      <rPr>
        <sz val="10"/>
        <rFont val="DejaVu Sans"/>
        <family val="2"/>
      </rPr>
      <t xml:space="preserve">입력 단가 </t>
    </r>
    <r>
      <rPr>
        <sz val="10"/>
        <rFont val="Arial"/>
        <family val="0"/>
        <charset val="1"/>
      </rPr>
      <t xml:space="preserve">(USD/1M tok)</t>
    </r>
  </si>
  <si>
    <r>
      <rPr>
        <sz val="10"/>
        <rFont val="DejaVu Sans"/>
        <family val="2"/>
      </rPr>
      <t xml:space="preserve">출력 단가 </t>
    </r>
    <r>
      <rPr>
        <sz val="10"/>
        <rFont val="Arial"/>
        <family val="0"/>
        <charset val="1"/>
      </rPr>
      <t xml:space="preserve">(USD/1M tok)</t>
    </r>
  </si>
  <si>
    <t xml:space="preserve">BIGINT</t>
  </si>
  <si>
    <r>
      <rPr>
        <sz val="10"/>
        <rFont val="DejaVu Sans"/>
        <family val="2"/>
      </rPr>
      <t xml:space="preserve">토큰 처리 한도 </t>
    </r>
    <r>
      <rPr>
        <sz val="10"/>
        <rFont val="Arial"/>
        <family val="0"/>
        <charset val="1"/>
      </rPr>
      <t xml:space="preserve">(TPM)</t>
    </r>
  </si>
  <si>
    <t xml:space="preserve">DECIMAL(5,2)</t>
  </si>
  <si>
    <r>
      <rPr>
        <sz val="10"/>
        <rFont val="Arial"/>
        <family val="0"/>
        <charset val="1"/>
      </rPr>
      <t xml:space="preserve">SLA </t>
    </r>
    <r>
      <rPr>
        <sz val="10"/>
        <rFont val="DejaVu Sans"/>
        <family val="2"/>
      </rPr>
      <t xml:space="preserve">가용성 </t>
    </r>
    <r>
      <rPr>
        <sz val="10"/>
        <rFont val="Arial"/>
        <family val="0"/>
        <charset val="1"/>
      </rPr>
      <t xml:space="preserve">(%)</t>
    </r>
  </si>
  <si>
    <t xml:space="preserve">MMLU (%)</t>
  </si>
  <si>
    <t xml:space="preserve">Korean MMLU (%)</t>
  </si>
  <si>
    <t xml:space="preserve">DECIMAL(4,2)</t>
  </si>
  <si>
    <r>
      <rPr>
        <sz val="10"/>
        <rFont val="DejaVu Sans"/>
        <family val="2"/>
      </rPr>
      <t xml:space="preserve">환각률 </t>
    </r>
    <r>
      <rPr>
        <sz val="10"/>
        <rFont val="Arial"/>
        <family val="0"/>
        <charset val="1"/>
      </rPr>
      <t xml:space="preserve">(%)</t>
    </r>
  </si>
  <si>
    <t xml:space="preserve">DECIMAL(5,3)</t>
  </si>
  <si>
    <r>
      <rPr>
        <sz val="10"/>
        <rFont val="Arial"/>
        <family val="0"/>
        <charset val="1"/>
      </rPr>
      <t xml:space="preserve">TTFT (</t>
    </r>
    <r>
      <rPr>
        <sz val="10"/>
        <rFont val="DejaVu Sans"/>
        <family val="2"/>
      </rPr>
      <t xml:space="preserve">초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</si>
  <si>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처리 속도 </t>
    </r>
    <r>
      <rPr>
        <sz val="10"/>
        <rFont val="Arial"/>
        <family val="0"/>
        <charset val="1"/>
      </rPr>
      <t xml:space="preserve">(tok/s)</t>
    </r>
  </si>
  <si>
    <t xml:space="preserve">ENUM('Y','N','PARTIAL','NATIVE')</t>
  </si>
  <si>
    <t xml:space="preserve">한국어 지원</t>
  </si>
  <si>
    <t xml:space="preserve">ENUM('Y','N','PARTIAL')</t>
  </si>
  <si>
    <t xml:space="preserve">멀티모달</t>
  </si>
  <si>
    <t xml:space="preserve">Function Calling</t>
  </si>
  <si>
    <r>
      <rPr>
        <sz val="10"/>
        <rFont val="Arial"/>
        <family val="0"/>
        <charset val="1"/>
      </rPr>
      <t xml:space="preserve">JSON </t>
    </r>
    <r>
      <rPr>
        <sz val="10"/>
        <rFont val="DejaVu Sans"/>
        <family val="2"/>
      </rPr>
      <t xml:space="preserve">구조화 출력</t>
    </r>
  </si>
  <si>
    <t xml:space="preserve">ENUM('Y','N')</t>
  </si>
  <si>
    <t xml:space="preserve">스트리밍</t>
  </si>
  <si>
    <t xml:space="preserve">파인튜닝 방식</t>
  </si>
  <si>
    <t xml:space="preserve">연계 임베딩 모델</t>
  </si>
  <si>
    <t xml:space="preserve">내장 안전장치</t>
  </si>
  <si>
    <r>
      <rPr>
        <sz val="10"/>
        <rFont val="Arial"/>
        <family val="0"/>
        <charset val="1"/>
      </rPr>
      <t xml:space="preserve">PII </t>
    </r>
    <r>
      <rPr>
        <sz val="10"/>
        <rFont val="DejaVu Sans"/>
        <family val="2"/>
      </rPr>
      <t xml:space="preserve">마스킹</t>
    </r>
  </si>
  <si>
    <t xml:space="preserve">TINYINT</t>
  </si>
  <si>
    <t xml:space="preserve">NOT NULL, 1~10</t>
  </si>
  <si>
    <r>
      <rPr>
        <sz val="10"/>
        <rFont val="Arial"/>
        <family val="0"/>
        <charset val="1"/>
      </rPr>
      <t xml:space="preserve">BVA: </t>
    </r>
    <r>
      <rPr>
        <sz val="10"/>
        <rFont val="DejaVu Sans"/>
        <family val="2"/>
      </rPr>
      <t xml:space="preserve">응답 품질 </t>
    </r>
    <r>
      <rPr>
        <sz val="10"/>
        <rFont val="Arial"/>
        <family val="0"/>
        <charset val="1"/>
      </rPr>
      <t xml:space="preserve">(w=0.25)</t>
    </r>
  </si>
  <si>
    <r>
      <rPr>
        <sz val="10"/>
        <rFont val="Arial"/>
        <family val="0"/>
        <charset val="1"/>
      </rPr>
      <t xml:space="preserve">BVA: </t>
    </r>
    <r>
      <rPr>
        <sz val="10"/>
        <rFont val="DejaVu Sans"/>
        <family val="2"/>
      </rPr>
      <t xml:space="preserve">비용 효율성 </t>
    </r>
    <r>
      <rPr>
        <sz val="10"/>
        <rFont val="Arial"/>
        <family val="0"/>
        <charset val="1"/>
      </rPr>
      <t xml:space="preserve">(w=0.20)</t>
    </r>
  </si>
  <si>
    <r>
      <rPr>
        <sz val="10"/>
        <rFont val="Arial"/>
        <family val="0"/>
        <charset val="1"/>
      </rPr>
      <t xml:space="preserve">BVA: </t>
    </r>
    <r>
      <rPr>
        <sz val="10"/>
        <rFont val="DejaVu Sans"/>
        <family val="2"/>
      </rPr>
      <t xml:space="preserve">한국어 자연스러움 </t>
    </r>
    <r>
      <rPr>
        <sz val="10"/>
        <rFont val="Arial"/>
        <family val="0"/>
        <charset val="1"/>
      </rPr>
      <t xml:space="preserve">(w=0.15)</t>
    </r>
  </si>
  <si>
    <r>
      <rPr>
        <sz val="10"/>
        <rFont val="Arial"/>
        <family val="0"/>
        <charset val="1"/>
      </rPr>
      <t xml:space="preserve">BVA: </t>
    </r>
    <r>
      <rPr>
        <sz val="10"/>
        <rFont val="DejaVu Sans"/>
        <family val="2"/>
      </rPr>
      <t xml:space="preserve">도메인 전문성 </t>
    </r>
    <r>
      <rPr>
        <sz val="10"/>
        <rFont val="Arial"/>
        <family val="0"/>
        <charset val="1"/>
      </rPr>
      <t xml:space="preserve">(w=0.10)</t>
    </r>
  </si>
  <si>
    <r>
      <rPr>
        <sz val="10"/>
        <rFont val="Arial"/>
        <family val="0"/>
        <charset val="1"/>
      </rPr>
      <t xml:space="preserve">BVA: </t>
    </r>
    <r>
      <rPr>
        <sz val="10"/>
        <rFont val="DejaVu Sans"/>
        <family val="2"/>
      </rPr>
      <t xml:space="preserve">응답 속도 </t>
    </r>
    <r>
      <rPr>
        <sz val="10"/>
        <rFont val="Arial"/>
        <family val="0"/>
        <charset val="1"/>
      </rPr>
      <t xml:space="preserve">(w=0.10)</t>
    </r>
  </si>
  <si>
    <r>
      <rPr>
        <sz val="10"/>
        <rFont val="Arial"/>
        <family val="0"/>
        <charset val="1"/>
      </rPr>
      <t xml:space="preserve">BVA: </t>
    </r>
    <r>
      <rPr>
        <sz val="10"/>
        <rFont val="DejaVu Sans"/>
        <family val="2"/>
      </rPr>
      <t xml:space="preserve">안정성 </t>
    </r>
    <r>
      <rPr>
        <sz val="10"/>
        <rFont val="Arial"/>
        <family val="0"/>
        <charset val="1"/>
      </rPr>
      <t xml:space="preserve">(w=0.05)</t>
    </r>
  </si>
  <si>
    <r>
      <rPr>
        <sz val="10"/>
        <rFont val="Arial"/>
        <family val="0"/>
        <charset val="1"/>
      </rPr>
      <t xml:space="preserve">BVA: </t>
    </r>
    <r>
      <rPr>
        <sz val="10"/>
        <rFont val="DejaVu Sans"/>
        <family val="2"/>
      </rPr>
      <t xml:space="preserve">보안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컴플라이언스 </t>
    </r>
    <r>
      <rPr>
        <sz val="10"/>
        <rFont val="Arial"/>
        <family val="0"/>
        <charset val="1"/>
      </rPr>
      <t xml:space="preserve">(w=0.10)</t>
    </r>
  </si>
  <si>
    <r>
      <rPr>
        <sz val="10"/>
        <rFont val="Arial"/>
        <family val="0"/>
        <charset val="1"/>
      </rPr>
      <t xml:space="preserve">BVA: </t>
    </r>
    <r>
      <rPr>
        <sz val="10"/>
        <rFont val="DejaVu Sans"/>
        <family val="2"/>
      </rPr>
      <t xml:space="preserve">환각 방지 </t>
    </r>
    <r>
      <rPr>
        <sz val="10"/>
        <rFont val="Arial"/>
        <family val="0"/>
        <charset val="1"/>
      </rPr>
      <t xml:space="preserve">(w=0.05)</t>
    </r>
  </si>
  <si>
    <t xml:space="preserve">GENERATED</t>
  </si>
  <si>
    <r>
      <rPr>
        <sz val="10"/>
        <rFont val="Arial"/>
        <family val="0"/>
        <charset val="1"/>
      </rPr>
      <t xml:space="preserve">BVA </t>
    </r>
    <r>
      <rPr>
        <sz val="10"/>
        <rFont val="DejaVu Sans"/>
        <family val="2"/>
      </rPr>
      <t xml:space="preserve">가중합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자동</t>
    </r>
    <r>
      <rPr>
        <sz val="10"/>
        <rFont val="Arial"/>
        <family val="0"/>
        <charset val="1"/>
      </rPr>
      <t xml:space="preserve">)</t>
    </r>
  </si>
  <si>
    <t xml:space="preserve">llm_compliance</t>
  </si>
  <si>
    <t xml:space="preserve">PK, FK → llm_models</t>
  </si>
  <si>
    <r>
      <rPr>
        <sz val="10"/>
        <rFont val="Arial"/>
        <family val="0"/>
        <charset val="1"/>
      </rPr>
      <t xml:space="preserve">Commercial </t>
    </r>
    <r>
      <rPr>
        <sz val="10"/>
        <rFont val="DejaVu Sans"/>
        <family val="2"/>
      </rPr>
      <t xml:space="preserve">모델 </t>
    </r>
    <r>
      <rPr>
        <sz val="10"/>
        <rFont val="Arial"/>
        <family val="0"/>
        <charset val="1"/>
      </rPr>
      <t xml:space="preserve">FK</t>
    </r>
  </si>
  <si>
    <t xml:space="preserve">ENUM('Y','N','INQUIRE')</t>
  </si>
  <si>
    <t xml:space="preserve">SOC2 Type II</t>
  </si>
  <si>
    <t xml:space="preserve">HIPAA BAA</t>
  </si>
  <si>
    <t xml:space="preserve">한국 데이터 레지던시</t>
  </si>
  <si>
    <t xml:space="preserve">llm_self_hosting</t>
  </si>
  <si>
    <r>
      <rPr>
        <sz val="10"/>
        <rFont val="Arial"/>
        <family val="0"/>
        <charset val="1"/>
      </rPr>
      <t xml:space="preserve">OSS </t>
    </r>
    <r>
      <rPr>
        <sz val="10"/>
        <rFont val="DejaVu Sans"/>
        <family val="2"/>
      </rPr>
      <t xml:space="preserve">모델 </t>
    </r>
    <r>
      <rPr>
        <sz val="10"/>
        <rFont val="Arial"/>
        <family val="0"/>
        <charset val="1"/>
      </rPr>
      <t xml:space="preserve">FK</t>
    </r>
  </si>
  <si>
    <t xml:space="preserve">오픈소스 라이선스</t>
  </si>
  <si>
    <t xml:space="preserve">ENUM('HIGH','MED','LOW')</t>
  </si>
  <si>
    <t xml:space="preserve">호스팅 난이도</t>
  </si>
  <si>
    <r>
      <rPr>
        <sz val="10"/>
        <rFont val="Arial"/>
        <family val="0"/>
        <charset val="1"/>
      </rPr>
      <t xml:space="preserve">GPU </t>
    </r>
    <r>
      <rPr>
        <sz val="10"/>
        <rFont val="DejaVu Sans"/>
        <family val="2"/>
      </rPr>
      <t xml:space="preserve">요구사양</t>
    </r>
  </si>
  <si>
    <r>
      <rPr>
        <sz val="10"/>
        <rFont val="DejaVu Sans"/>
        <family val="2"/>
      </rPr>
      <t xml:space="preserve">월 비용 </t>
    </r>
    <r>
      <rPr>
        <sz val="10"/>
        <rFont val="Arial"/>
        <family val="0"/>
        <charset val="1"/>
      </rPr>
      <t xml:space="preserve">(USD)</t>
    </r>
  </si>
  <si>
    <r>
      <rPr>
        <sz val="10"/>
        <rFont val="DejaVu Sans"/>
        <family val="2"/>
      </rPr>
      <t xml:space="preserve">월 비용 </t>
    </r>
    <r>
      <rPr>
        <sz val="10"/>
        <rFont val="Arial"/>
        <family val="0"/>
        <charset val="1"/>
      </rPr>
      <t xml:space="preserve">(KRW)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</si>
</sst>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#,##0"/>
    <numFmt numFmtId="167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Arial"/>
      <family val="0"/>
      <charset val="1"/>
    </font>
    <font>
      <b val="true"/>
      <sz val="14"/>
      <color rgb="FF1A1A2E"/>
      <name val="DejaVu Sans"/>
      <family val="2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2D3748"/>
        <bgColor rgb="FF1A1F2E"/>
      </patternFill>
    </fill>
    <fill>
      <patternFill patternType="solid">
        <fgColor rgb="FF1A1F2E"/>
        <bgColor rgb="FF1A1A2E"/>
      </patternFill>
    </fill>
    <fill>
      <patternFill patternType="solid">
        <fgColor rgb="FFF8FAFC"/>
        <bgColor rgb="FFFFFFFF"/>
      </patternFill>
    </fill>
    <fill>
      <patternFill patternType="solid">
        <fgColor rgb="FFDBEAFE"/>
        <bgColor rgb="FFE5E7EB"/>
      </patternFill>
    </fill>
    <fill>
      <patternFill patternType="solid">
        <fgColor rgb="FFDCFCE7"/>
        <bgColor rgb="FFDBEAFE"/>
      </patternFill>
    </fill>
    <fill>
      <patternFill patternType="solid">
        <fgColor rgb="FFFEE2E2"/>
        <bgColor rgb="FFE5E7EB"/>
      </patternFill>
    </fill>
    <fill>
      <patternFill patternType="solid">
        <fgColor rgb="FFFEF3C7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A1F2E"/>
          <bgColor rgb="FF000000"/>
        </patternFill>
      </fill>
    </dxf>
    <dxf>
      <fill>
        <patternFill patternType="solid">
          <fgColor rgb="FF2D374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5E7EB"/>
      <rgbColor rgb="FFF8FAFC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A1A2E"/>
      <rgbColor rgb="FF1A1F2E"/>
      <rgbColor rgb="FF993300"/>
      <rgbColor rgb="FF993366"/>
      <rgbColor rgb="FF33339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.51"/>
    <col collapsed="false" customWidth="true" hidden="false" outlineLevel="0" max="2" min="2" style="0" width="14"/>
    <col collapsed="false" customWidth="true" hidden="false" outlineLevel="0" max="3" min="3" style="0" width="16.8"/>
    <col collapsed="false" customWidth="true" hidden="false" outlineLevel="0" max="4" min="4" style="0" width="14.51"/>
    <col collapsed="false" customWidth="true" hidden="false" outlineLevel="0" max="5" min="5" style="0" width="14"/>
    <col collapsed="false" customWidth="true" hidden="false" outlineLevel="0" max="6" min="6" style="0" width="14.51"/>
    <col collapsed="false" customWidth="true" hidden="false" outlineLevel="0" max="7" min="7" style="0" width="21.4"/>
    <col collapsed="false" customWidth="true" hidden="false" outlineLevel="0" max="8" min="8" style="0" width="22.55"/>
    <col collapsed="false" customWidth="true" hidden="false" outlineLevel="0" max="9" min="9" style="0" width="23.7"/>
    <col collapsed="false" customWidth="true" hidden="false" outlineLevel="0" max="10" min="10" style="0" width="24.85"/>
    <col collapsed="false" customWidth="true" hidden="false" outlineLevel="0" max="11" min="11" style="0" width="19.1"/>
    <col collapsed="false" customWidth="true" hidden="false" outlineLevel="0" max="12" min="12" style="0" width="15.65"/>
    <col collapsed="false" customWidth="true" hidden="false" outlineLevel="0" max="13" min="13" style="0" width="14.51"/>
    <col collapsed="false" customWidth="true" hidden="false" outlineLevel="0" max="14" min="14" style="0" width="15.65"/>
    <col collapsed="false" customWidth="true" hidden="false" outlineLevel="0" max="15" min="15" style="0" width="23.7"/>
    <col collapsed="false" customWidth="true" hidden="false" outlineLevel="0" max="16" min="16" style="0" width="14"/>
    <col collapsed="false" customWidth="true" hidden="false" outlineLevel="0" max="18" min="17" style="0" width="19.1"/>
    <col collapsed="false" customWidth="true" hidden="false" outlineLevel="0" max="19" min="19" style="0" width="14.51"/>
    <col collapsed="false" customWidth="true" hidden="false" outlineLevel="0" max="20" min="20" style="0" width="21.4"/>
    <col collapsed="false" customWidth="true" hidden="false" outlineLevel="0" max="22" min="21" style="0" width="14"/>
    <col collapsed="false" customWidth="true" hidden="false" outlineLevel="0" max="23" min="23" style="0" width="15.65"/>
    <col collapsed="false" customWidth="true" hidden="false" outlineLevel="0" max="24" min="24" style="0" width="20.25"/>
    <col collapsed="false" customWidth="true" hidden="false" outlineLevel="0" max="25" min="25" style="0" width="23.7"/>
    <col collapsed="false" customWidth="true" hidden="false" outlineLevel="0" max="26" min="26" style="0" width="15.65"/>
    <col collapsed="false" customWidth="true" hidden="false" outlineLevel="0" max="27" min="27" style="0" width="26"/>
    <col collapsed="false" customWidth="true" hidden="false" outlineLevel="0" max="28" min="28" style="0" width="24.85"/>
    <col collapsed="false" customWidth="true" hidden="false" outlineLevel="0" max="30" min="29" style="0" width="26"/>
    <col collapsed="false" customWidth="true" hidden="false" outlineLevel="0" max="31" min="31" style="0" width="23.7"/>
    <col collapsed="false" customWidth="true" hidden="false" outlineLevel="0" max="32" min="32" style="0" width="17.95"/>
    <col collapsed="false" customWidth="true" hidden="false" outlineLevel="0" max="34" min="33" style="0" width="26"/>
    <col collapsed="false" customWidth="true" hidden="false" outlineLevel="0" max="35" min="35" style="0" width="23.7"/>
  </cols>
  <sheetData>
    <row r="1" customFormat="false" ht="17.9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 t="s">
        <v>2</v>
      </c>
      <c r="H2" s="2"/>
      <c r="I2" s="2" t="s">
        <v>3</v>
      </c>
      <c r="J2" s="2"/>
      <c r="K2" s="2"/>
      <c r="L2" s="2"/>
      <c r="M2" s="2" t="s">
        <v>4</v>
      </c>
      <c r="N2" s="2"/>
      <c r="O2" s="2"/>
      <c r="P2" s="2" t="s">
        <v>5</v>
      </c>
      <c r="Q2" s="2"/>
      <c r="R2" s="2" t="s">
        <v>6</v>
      </c>
      <c r="S2" s="2"/>
      <c r="T2" s="2"/>
      <c r="U2" s="2"/>
      <c r="V2" s="2"/>
      <c r="W2" s="2"/>
      <c r="X2" s="2"/>
      <c r="Y2" s="2" t="s">
        <v>7</v>
      </c>
      <c r="Z2" s="2"/>
      <c r="AA2" s="2" t="s">
        <v>8</v>
      </c>
      <c r="AB2" s="2"/>
      <c r="AC2" s="2"/>
      <c r="AD2" s="2"/>
      <c r="AE2" s="2"/>
      <c r="AF2" s="2"/>
      <c r="AG2" s="2"/>
      <c r="AH2" s="2"/>
      <c r="AI2" s="2"/>
    </row>
    <row r="3" customFormat="false" ht="26.85" hidden="false" customHeight="false" outlineLevel="0" collapsed="false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  <c r="V3" s="3" t="s">
        <v>30</v>
      </c>
      <c r="W3" s="3" t="s">
        <v>31</v>
      </c>
      <c r="X3" s="3" t="s">
        <v>32</v>
      </c>
      <c r="Y3" s="3" t="s">
        <v>33</v>
      </c>
      <c r="Z3" s="3" t="s">
        <v>34</v>
      </c>
      <c r="AA3" s="3" t="s">
        <v>35</v>
      </c>
      <c r="AB3" s="3" t="s">
        <v>36</v>
      </c>
      <c r="AC3" s="3" t="s">
        <v>37</v>
      </c>
      <c r="AD3" s="3" t="s">
        <v>38</v>
      </c>
      <c r="AE3" s="3" t="s">
        <v>39</v>
      </c>
      <c r="AF3" s="3" t="s">
        <v>40</v>
      </c>
      <c r="AG3" s="3" t="s">
        <v>41</v>
      </c>
      <c r="AH3" s="3" t="s">
        <v>42</v>
      </c>
      <c r="AI3" s="3" t="s">
        <v>43</v>
      </c>
    </row>
    <row r="4" customFormat="false" ht="15" hidden="false" customHeight="false" outlineLevel="0" collapsed="false">
      <c r="A4" s="4" t="s">
        <v>44</v>
      </c>
      <c r="B4" s="4" t="s">
        <v>45</v>
      </c>
      <c r="C4" s="4" t="s">
        <v>46</v>
      </c>
      <c r="D4" s="5" t="s">
        <v>47</v>
      </c>
      <c r="E4" s="4" t="s">
        <v>48</v>
      </c>
      <c r="F4" s="4"/>
      <c r="G4" s="4" t="n">
        <v>128</v>
      </c>
      <c r="H4" s="4" t="n">
        <v>16384</v>
      </c>
      <c r="I4" s="4" t="n">
        <v>1.75</v>
      </c>
      <c r="J4" s="4" t="n">
        <v>14</v>
      </c>
      <c r="K4" s="4" t="n">
        <v>10000000</v>
      </c>
      <c r="L4" s="4" t="n">
        <v>99.9</v>
      </c>
      <c r="M4" s="4" t="n">
        <v>92</v>
      </c>
      <c r="N4" s="4" t="n">
        <v>84</v>
      </c>
      <c r="O4" s="4" t="n">
        <v>5</v>
      </c>
      <c r="P4" s="4" t="n">
        <v>0.5</v>
      </c>
      <c r="Q4" s="4" t="n">
        <v>150</v>
      </c>
      <c r="R4" s="4" t="s">
        <v>49</v>
      </c>
      <c r="S4" s="4" t="s">
        <v>49</v>
      </c>
      <c r="T4" s="4" t="s">
        <v>49</v>
      </c>
      <c r="U4" s="4" t="s">
        <v>49</v>
      </c>
      <c r="V4" s="4" t="s">
        <v>49</v>
      </c>
      <c r="W4" s="4" t="s">
        <v>50</v>
      </c>
      <c r="X4" s="4" t="s">
        <v>51</v>
      </c>
      <c r="Y4" s="4" t="s">
        <v>49</v>
      </c>
      <c r="Z4" s="4" t="s">
        <v>49</v>
      </c>
      <c r="AA4" s="6" t="n">
        <v>9</v>
      </c>
      <c r="AB4" s="4" t="n">
        <v>6</v>
      </c>
      <c r="AC4" s="5" t="n">
        <v>8</v>
      </c>
      <c r="AD4" s="5" t="n">
        <v>8</v>
      </c>
      <c r="AE4" s="5" t="n">
        <v>7</v>
      </c>
      <c r="AF4" s="6" t="n">
        <v>9</v>
      </c>
      <c r="AG4" s="6" t="n">
        <v>9</v>
      </c>
      <c r="AH4" s="5" t="n">
        <v>7</v>
      </c>
      <c r="AI4" s="7" t="n">
        <f aca="false">AA4*0.25+AB4*0.2+AC4*0.15+AD4*0.1+AE4*0.1+AF4*0.05+AG4*0.1+AH4*0.05</f>
        <v>7.85</v>
      </c>
    </row>
    <row r="5" customFormat="false" ht="15" hidden="false" customHeight="false" outlineLevel="0" collapsed="false">
      <c r="A5" s="8" t="s">
        <v>52</v>
      </c>
      <c r="B5" s="8" t="s">
        <v>45</v>
      </c>
      <c r="C5" s="8" t="s">
        <v>46</v>
      </c>
      <c r="D5" s="5" t="s">
        <v>47</v>
      </c>
      <c r="E5" s="8" t="s">
        <v>48</v>
      </c>
      <c r="F5" s="8"/>
      <c r="G5" s="8" t="n">
        <v>128</v>
      </c>
      <c r="H5" s="8" t="n">
        <v>32768</v>
      </c>
      <c r="I5" s="8" t="n">
        <v>21</v>
      </c>
      <c r="J5" s="8" t="n">
        <v>168</v>
      </c>
      <c r="K5" s="8" t="n">
        <v>2000000</v>
      </c>
      <c r="L5" s="8" t="n">
        <v>99.9</v>
      </c>
      <c r="M5" s="8" t="n">
        <v>96</v>
      </c>
      <c r="N5" s="8" t="n">
        <v>88</v>
      </c>
      <c r="O5" s="8" t="n">
        <v>2</v>
      </c>
      <c r="P5" s="8" t="n">
        <v>3</v>
      </c>
      <c r="Q5" s="8" t="n">
        <v>40</v>
      </c>
      <c r="R5" s="8" t="s">
        <v>49</v>
      </c>
      <c r="S5" s="8" t="s">
        <v>49</v>
      </c>
      <c r="T5" s="8" t="s">
        <v>49</v>
      </c>
      <c r="U5" s="8" t="s">
        <v>49</v>
      </c>
      <c r="V5" s="8" t="s">
        <v>49</v>
      </c>
      <c r="W5" s="8" t="s">
        <v>53</v>
      </c>
      <c r="X5" s="8" t="s">
        <v>51</v>
      </c>
      <c r="Y5" s="8" t="s">
        <v>49</v>
      </c>
      <c r="Z5" s="8" t="s">
        <v>49</v>
      </c>
      <c r="AA5" s="6" t="n">
        <v>10</v>
      </c>
      <c r="AB5" s="9" t="n">
        <v>1</v>
      </c>
      <c r="AC5" s="5" t="n">
        <v>8</v>
      </c>
      <c r="AD5" s="6" t="n">
        <v>9</v>
      </c>
      <c r="AE5" s="9" t="n">
        <v>2</v>
      </c>
      <c r="AF5" s="6" t="n">
        <v>9</v>
      </c>
      <c r="AG5" s="6" t="n">
        <v>9</v>
      </c>
      <c r="AH5" s="6" t="n">
        <v>9</v>
      </c>
      <c r="AI5" s="10" t="n">
        <f aca="false">AA5*0.25+AB5*0.2+AC5*0.15+AD5*0.1+AE5*0.1+AF5*0.05+AG5*0.1+AH5*0.05</f>
        <v>6.8</v>
      </c>
    </row>
    <row r="6" customFormat="false" ht="15" hidden="false" customHeight="false" outlineLevel="0" collapsed="false">
      <c r="A6" s="4" t="s">
        <v>54</v>
      </c>
      <c r="B6" s="4" t="s">
        <v>45</v>
      </c>
      <c r="C6" s="4" t="s">
        <v>55</v>
      </c>
      <c r="D6" s="5" t="s">
        <v>47</v>
      </c>
      <c r="E6" s="4" t="s">
        <v>48</v>
      </c>
      <c r="F6" s="4"/>
      <c r="G6" s="4" t="n">
        <v>128</v>
      </c>
      <c r="H6" s="4" t="n">
        <v>16384</v>
      </c>
      <c r="I6" s="4" t="n">
        <v>0.25</v>
      </c>
      <c r="J6" s="4" t="n">
        <v>2</v>
      </c>
      <c r="K6" s="4" t="n">
        <v>10000000</v>
      </c>
      <c r="L6" s="4" t="n">
        <v>99.9</v>
      </c>
      <c r="M6" s="4" t="n">
        <v>87</v>
      </c>
      <c r="N6" s="4" t="n">
        <v>75</v>
      </c>
      <c r="O6" s="4" t="n">
        <v>7</v>
      </c>
      <c r="P6" s="4" t="n">
        <v>0.35</v>
      </c>
      <c r="Q6" s="4" t="n">
        <v>250</v>
      </c>
      <c r="R6" s="4" t="s">
        <v>49</v>
      </c>
      <c r="S6" s="4" t="s">
        <v>49</v>
      </c>
      <c r="T6" s="4" t="s">
        <v>49</v>
      </c>
      <c r="U6" s="4" t="s">
        <v>49</v>
      </c>
      <c r="V6" s="4" t="s">
        <v>49</v>
      </c>
      <c r="W6" s="4" t="s">
        <v>50</v>
      </c>
      <c r="X6" s="4" t="s">
        <v>51</v>
      </c>
      <c r="Y6" s="4" t="s">
        <v>49</v>
      </c>
      <c r="Z6" s="4" t="s">
        <v>49</v>
      </c>
      <c r="AA6" s="5" t="n">
        <v>7</v>
      </c>
      <c r="AB6" s="6" t="n">
        <v>9</v>
      </c>
      <c r="AC6" s="5" t="n">
        <v>7</v>
      </c>
      <c r="AD6" s="4" t="n">
        <v>6</v>
      </c>
      <c r="AE6" s="6" t="n">
        <v>9</v>
      </c>
      <c r="AF6" s="6" t="n">
        <v>9</v>
      </c>
      <c r="AG6" s="6" t="n">
        <v>9</v>
      </c>
      <c r="AH6" s="4" t="n">
        <v>6</v>
      </c>
      <c r="AI6" s="7" t="n">
        <f aca="false">AA6*0.25+AB6*0.2+AC6*0.15+AD6*0.1+AE6*0.1+AF6*0.05+AG6*0.1+AH6*0.05</f>
        <v>7.75</v>
      </c>
    </row>
    <row r="7" customFormat="false" ht="15" hidden="false" customHeight="false" outlineLevel="0" collapsed="false">
      <c r="A7" s="8" t="s">
        <v>56</v>
      </c>
      <c r="B7" s="8" t="s">
        <v>45</v>
      </c>
      <c r="C7" s="8" t="s">
        <v>55</v>
      </c>
      <c r="D7" s="5" t="s">
        <v>47</v>
      </c>
      <c r="E7" s="8" t="s">
        <v>48</v>
      </c>
      <c r="F7" s="8"/>
      <c r="G7" s="8" t="n">
        <v>128</v>
      </c>
      <c r="H7" s="8" t="n">
        <v>4096</v>
      </c>
      <c r="I7" s="8" t="n">
        <v>0.05</v>
      </c>
      <c r="J7" s="8" t="n">
        <v>0.4</v>
      </c>
      <c r="K7" s="8" t="n">
        <v>10000000</v>
      </c>
      <c r="L7" s="8" t="n">
        <v>99.9</v>
      </c>
      <c r="M7" s="8" t="n">
        <v>80</v>
      </c>
      <c r="N7" s="8" t="n">
        <v>65</v>
      </c>
      <c r="O7" s="8" t="n">
        <v>9</v>
      </c>
      <c r="P7" s="8" t="n">
        <v>0.25</v>
      </c>
      <c r="Q7" s="8" t="n">
        <v>400</v>
      </c>
      <c r="R7" s="8" t="s">
        <v>49</v>
      </c>
      <c r="S7" s="8" t="s">
        <v>57</v>
      </c>
      <c r="T7" s="8" t="s">
        <v>49</v>
      </c>
      <c r="U7" s="8" t="s">
        <v>49</v>
      </c>
      <c r="V7" s="8" t="s">
        <v>49</v>
      </c>
      <c r="W7" s="8" t="s">
        <v>58</v>
      </c>
      <c r="X7" s="8" t="s">
        <v>51</v>
      </c>
      <c r="Y7" s="8" t="s">
        <v>49</v>
      </c>
      <c r="Z7" s="8" t="s">
        <v>59</v>
      </c>
      <c r="AA7" s="8" t="n">
        <v>5</v>
      </c>
      <c r="AB7" s="6" t="n">
        <v>10</v>
      </c>
      <c r="AC7" s="8" t="n">
        <v>5</v>
      </c>
      <c r="AD7" s="9" t="n">
        <v>4</v>
      </c>
      <c r="AE7" s="6" t="n">
        <v>10</v>
      </c>
      <c r="AF7" s="6" t="n">
        <v>9</v>
      </c>
      <c r="AG7" s="6" t="n">
        <v>9</v>
      </c>
      <c r="AH7" s="8" t="n">
        <v>5</v>
      </c>
      <c r="AI7" s="10" t="n">
        <f aca="false">AA7*0.25+AB7*0.2+AC7*0.15+AD7*0.1+AE7*0.1+AF7*0.05+AG7*0.1+AH7*0.05</f>
        <v>7</v>
      </c>
    </row>
    <row r="8" customFormat="false" ht="15" hidden="false" customHeight="false" outlineLevel="0" collapsed="false">
      <c r="A8" s="4" t="s">
        <v>60</v>
      </c>
      <c r="B8" s="4" t="s">
        <v>45</v>
      </c>
      <c r="C8" s="4" t="s">
        <v>61</v>
      </c>
      <c r="D8" s="5" t="s">
        <v>47</v>
      </c>
      <c r="E8" s="4" t="s">
        <v>48</v>
      </c>
      <c r="F8" s="4"/>
      <c r="G8" s="4" t="n">
        <v>200</v>
      </c>
      <c r="H8" s="4" t="n">
        <v>32768</v>
      </c>
      <c r="I8" s="4" t="n">
        <v>150</v>
      </c>
      <c r="J8" s="4" t="n">
        <v>600</v>
      </c>
      <c r="K8" s="4" t="n">
        <v>2000000</v>
      </c>
      <c r="L8" s="4" t="n">
        <v>99.9</v>
      </c>
      <c r="M8" s="4" t="n">
        <v>96</v>
      </c>
      <c r="N8" s="4" t="n">
        <v>88</v>
      </c>
      <c r="O8" s="4" t="n">
        <v>2</v>
      </c>
      <c r="P8" s="4" t="n">
        <v>5</v>
      </c>
      <c r="Q8" s="4" t="n">
        <v>30</v>
      </c>
      <c r="R8" s="4" t="s">
        <v>49</v>
      </c>
      <c r="S8" s="4" t="s">
        <v>49</v>
      </c>
      <c r="T8" s="4" t="s">
        <v>49</v>
      </c>
      <c r="U8" s="4" t="s">
        <v>49</v>
      </c>
      <c r="V8" s="4" t="s">
        <v>49</v>
      </c>
      <c r="W8" s="4" t="s">
        <v>53</v>
      </c>
      <c r="X8" s="4" t="s">
        <v>51</v>
      </c>
      <c r="Y8" s="4" t="s">
        <v>49</v>
      </c>
      <c r="Z8" s="4" t="s">
        <v>49</v>
      </c>
      <c r="AA8" s="6" t="n">
        <v>10</v>
      </c>
      <c r="AB8" s="9" t="n">
        <v>1</v>
      </c>
      <c r="AC8" s="5" t="n">
        <v>8</v>
      </c>
      <c r="AD8" s="6" t="n">
        <v>9</v>
      </c>
      <c r="AE8" s="9" t="n">
        <v>2</v>
      </c>
      <c r="AF8" s="6" t="n">
        <v>9</v>
      </c>
      <c r="AG8" s="6" t="n">
        <v>9</v>
      </c>
      <c r="AH8" s="6" t="n">
        <v>9</v>
      </c>
      <c r="AI8" s="7" t="n">
        <f aca="false">AA8*0.25+AB8*0.2+AC8*0.15+AD8*0.1+AE8*0.1+AF8*0.05+AG8*0.1+AH8*0.05</f>
        <v>6.8</v>
      </c>
    </row>
    <row r="9" customFormat="false" ht="15" hidden="false" customHeight="false" outlineLevel="0" collapsed="false">
      <c r="A9" s="8" t="s">
        <v>62</v>
      </c>
      <c r="B9" s="8" t="s">
        <v>63</v>
      </c>
      <c r="C9" s="8" t="s">
        <v>46</v>
      </c>
      <c r="D9" s="5" t="s">
        <v>47</v>
      </c>
      <c r="E9" s="8" t="s">
        <v>48</v>
      </c>
      <c r="F9" s="8"/>
      <c r="G9" s="8" t="n">
        <v>1000</v>
      </c>
      <c r="H9" s="8" t="n">
        <v>32768</v>
      </c>
      <c r="I9" s="8" t="n">
        <v>5</v>
      </c>
      <c r="J9" s="8" t="n">
        <v>25</v>
      </c>
      <c r="K9" s="8" t="n">
        <v>4000000</v>
      </c>
      <c r="L9" s="8" t="n">
        <v>99.9</v>
      </c>
      <c r="M9" s="8" t="n">
        <v>91</v>
      </c>
      <c r="N9" s="8" t="n">
        <v>80</v>
      </c>
      <c r="O9" s="8" t="n">
        <v>3</v>
      </c>
      <c r="P9" s="8" t="n">
        <v>1</v>
      </c>
      <c r="Q9" s="8" t="n">
        <v>100</v>
      </c>
      <c r="R9" s="8" t="s">
        <v>49</v>
      </c>
      <c r="S9" s="8" t="s">
        <v>49</v>
      </c>
      <c r="T9" s="8" t="s">
        <v>49</v>
      </c>
      <c r="U9" s="8" t="s">
        <v>49</v>
      </c>
      <c r="V9" s="8" t="s">
        <v>49</v>
      </c>
      <c r="W9" s="8" t="s">
        <v>53</v>
      </c>
      <c r="X9" s="8" t="s">
        <v>64</v>
      </c>
      <c r="Y9" s="8" t="s">
        <v>49</v>
      </c>
      <c r="Z9" s="8" t="s">
        <v>49</v>
      </c>
      <c r="AA9" s="6" t="n">
        <v>9</v>
      </c>
      <c r="AB9" s="8" t="n">
        <v>5</v>
      </c>
      <c r="AC9" s="5" t="n">
        <v>8</v>
      </c>
      <c r="AD9" s="5" t="n">
        <v>8</v>
      </c>
      <c r="AE9" s="8" t="n">
        <v>6</v>
      </c>
      <c r="AF9" s="6" t="n">
        <v>9</v>
      </c>
      <c r="AG9" s="6" t="n">
        <v>9</v>
      </c>
      <c r="AH9" s="5" t="n">
        <v>8</v>
      </c>
      <c r="AI9" s="10" t="n">
        <f aca="false">AA9*0.25+AB9*0.2+AC9*0.15+AD9*0.1+AE9*0.1+AF9*0.05+AG9*0.1+AH9*0.05</f>
        <v>7.6</v>
      </c>
    </row>
    <row r="10" customFormat="false" ht="23.85" hidden="false" customHeight="false" outlineLevel="0" collapsed="false">
      <c r="A10" s="4" t="s">
        <v>65</v>
      </c>
      <c r="B10" s="4" t="s">
        <v>63</v>
      </c>
      <c r="C10" s="4" t="s">
        <v>55</v>
      </c>
      <c r="D10" s="5" t="s">
        <v>47</v>
      </c>
      <c r="E10" s="4" t="s">
        <v>48</v>
      </c>
      <c r="F10" s="4"/>
      <c r="G10" s="4" t="n">
        <v>200</v>
      </c>
      <c r="H10" s="4" t="n">
        <v>16384</v>
      </c>
      <c r="I10" s="4" t="n">
        <v>3</v>
      </c>
      <c r="J10" s="4" t="n">
        <v>15</v>
      </c>
      <c r="K10" s="4" t="n">
        <v>4000000</v>
      </c>
      <c r="L10" s="4" t="n">
        <v>99.9</v>
      </c>
      <c r="M10" s="4" t="n">
        <v>89</v>
      </c>
      <c r="N10" s="4" t="n">
        <v>78</v>
      </c>
      <c r="O10" s="4" t="n">
        <v>3.5</v>
      </c>
      <c r="P10" s="4" t="n">
        <v>0.6</v>
      </c>
      <c r="Q10" s="4" t="n">
        <v>150</v>
      </c>
      <c r="R10" s="4" t="s">
        <v>49</v>
      </c>
      <c r="S10" s="4" t="s">
        <v>49</v>
      </c>
      <c r="T10" s="4" t="s">
        <v>49</v>
      </c>
      <c r="U10" s="4" t="s">
        <v>49</v>
      </c>
      <c r="V10" s="4" t="s">
        <v>49</v>
      </c>
      <c r="W10" s="4" t="s">
        <v>53</v>
      </c>
      <c r="X10" s="4" t="s">
        <v>64</v>
      </c>
      <c r="Y10" s="4" t="s">
        <v>49</v>
      </c>
      <c r="Z10" s="4" t="s">
        <v>49</v>
      </c>
      <c r="AA10" s="6" t="n">
        <v>9</v>
      </c>
      <c r="AB10" s="5" t="n">
        <v>7</v>
      </c>
      <c r="AC10" s="5" t="n">
        <v>8</v>
      </c>
      <c r="AD10" s="5" t="n">
        <v>8</v>
      </c>
      <c r="AE10" s="5" t="n">
        <v>7</v>
      </c>
      <c r="AF10" s="6" t="n">
        <v>9</v>
      </c>
      <c r="AG10" s="6" t="n">
        <v>9</v>
      </c>
      <c r="AH10" s="5" t="n">
        <v>8</v>
      </c>
      <c r="AI10" s="7" t="n">
        <f aca="false">AA10*0.25+AB10*0.2+AC10*0.15+AD10*0.1+AE10*0.1+AF10*0.05+AG10*0.1+AH10*0.05</f>
        <v>8.1</v>
      </c>
    </row>
    <row r="11" customFormat="false" ht="15" hidden="false" customHeight="false" outlineLevel="0" collapsed="false">
      <c r="A11" s="8" t="s">
        <v>66</v>
      </c>
      <c r="B11" s="8" t="s">
        <v>63</v>
      </c>
      <c r="C11" s="8" t="s">
        <v>55</v>
      </c>
      <c r="D11" s="5" t="s">
        <v>47</v>
      </c>
      <c r="E11" s="8" t="s">
        <v>48</v>
      </c>
      <c r="F11" s="8"/>
      <c r="G11" s="8" t="n">
        <v>200</v>
      </c>
      <c r="H11" s="8" t="n">
        <v>8192</v>
      </c>
      <c r="I11" s="8" t="n">
        <v>1</v>
      </c>
      <c r="J11" s="8" t="n">
        <v>5</v>
      </c>
      <c r="K11" s="8" t="n">
        <v>4000000</v>
      </c>
      <c r="L11" s="8" t="n">
        <v>99.9</v>
      </c>
      <c r="M11" s="8" t="n">
        <v>82</v>
      </c>
      <c r="N11" s="8" t="n">
        <v>68</v>
      </c>
      <c r="O11" s="8" t="n">
        <v>5</v>
      </c>
      <c r="P11" s="8" t="n">
        <v>0.3</v>
      </c>
      <c r="Q11" s="8" t="n">
        <v>300</v>
      </c>
      <c r="R11" s="8" t="s">
        <v>49</v>
      </c>
      <c r="S11" s="8" t="s">
        <v>57</v>
      </c>
      <c r="T11" s="8" t="s">
        <v>49</v>
      </c>
      <c r="U11" s="8" t="s">
        <v>49</v>
      </c>
      <c r="V11" s="8" t="s">
        <v>49</v>
      </c>
      <c r="W11" s="8" t="s">
        <v>53</v>
      </c>
      <c r="X11" s="8" t="s">
        <v>64</v>
      </c>
      <c r="Y11" s="8" t="s">
        <v>49</v>
      </c>
      <c r="Z11" s="8" t="s">
        <v>59</v>
      </c>
      <c r="AA11" s="8" t="n">
        <v>6</v>
      </c>
      <c r="AB11" s="5" t="n">
        <v>8</v>
      </c>
      <c r="AC11" s="8" t="n">
        <v>6</v>
      </c>
      <c r="AD11" s="8" t="n">
        <v>5</v>
      </c>
      <c r="AE11" s="6" t="n">
        <v>9</v>
      </c>
      <c r="AF11" s="6" t="n">
        <v>9</v>
      </c>
      <c r="AG11" s="6" t="n">
        <v>9</v>
      </c>
      <c r="AH11" s="8" t="n">
        <v>6</v>
      </c>
      <c r="AI11" s="10" t="n">
        <f aca="false">AA11*0.25+AB11*0.2+AC11*0.15+AD11*0.1+AE11*0.1+AF11*0.05+AG11*0.1+AH11*0.05</f>
        <v>7.05</v>
      </c>
    </row>
    <row r="12" customFormat="false" ht="15" hidden="false" customHeight="false" outlineLevel="0" collapsed="false">
      <c r="A12" s="4" t="s">
        <v>67</v>
      </c>
      <c r="B12" s="4" t="s">
        <v>68</v>
      </c>
      <c r="C12" s="4" t="s">
        <v>69</v>
      </c>
      <c r="D12" s="5" t="s">
        <v>47</v>
      </c>
      <c r="E12" s="4" t="s">
        <v>48</v>
      </c>
      <c r="F12" s="4"/>
      <c r="G12" s="4" t="n">
        <v>1000</v>
      </c>
      <c r="H12" s="4" t="n">
        <v>32768</v>
      </c>
      <c r="I12" s="4" t="n">
        <v>2</v>
      </c>
      <c r="J12" s="4" t="n">
        <v>12</v>
      </c>
      <c r="K12" s="4" t="n">
        <v>4000000</v>
      </c>
      <c r="L12" s="4" t="n">
        <v>99.9</v>
      </c>
      <c r="M12" s="4" t="n">
        <v>93</v>
      </c>
      <c r="N12" s="4" t="n">
        <v>82</v>
      </c>
      <c r="O12" s="4" t="n">
        <v>4</v>
      </c>
      <c r="P12" s="4" t="n">
        <v>0.5</v>
      </c>
      <c r="Q12" s="4" t="n">
        <v>200</v>
      </c>
      <c r="R12" s="4" t="s">
        <v>49</v>
      </c>
      <c r="S12" s="4" t="s">
        <v>49</v>
      </c>
      <c r="T12" s="4" t="s">
        <v>49</v>
      </c>
      <c r="U12" s="4" t="s">
        <v>49</v>
      </c>
      <c r="V12" s="4" t="s">
        <v>49</v>
      </c>
      <c r="W12" s="4" t="s">
        <v>50</v>
      </c>
      <c r="X12" s="4" t="s">
        <v>70</v>
      </c>
      <c r="Y12" s="4" t="s">
        <v>49</v>
      </c>
      <c r="Z12" s="4" t="s">
        <v>49</v>
      </c>
      <c r="AA12" s="6" t="n">
        <v>9</v>
      </c>
      <c r="AB12" s="4" t="n">
        <v>6</v>
      </c>
      <c r="AC12" s="5" t="n">
        <v>8</v>
      </c>
      <c r="AD12" s="5" t="n">
        <v>8</v>
      </c>
      <c r="AE12" s="5" t="n">
        <v>8</v>
      </c>
      <c r="AF12" s="6" t="n">
        <v>9</v>
      </c>
      <c r="AG12" s="6" t="n">
        <v>9</v>
      </c>
      <c r="AH12" s="5" t="n">
        <v>7</v>
      </c>
      <c r="AI12" s="7" t="n">
        <f aca="false">AA12*0.25+AB12*0.2+AC12*0.15+AD12*0.1+AE12*0.1+AF12*0.05+AG12*0.1+AH12*0.05</f>
        <v>7.95</v>
      </c>
    </row>
    <row r="13" customFormat="false" ht="15" hidden="false" customHeight="false" outlineLevel="0" collapsed="false">
      <c r="A13" s="8" t="s">
        <v>71</v>
      </c>
      <c r="B13" s="8" t="s">
        <v>68</v>
      </c>
      <c r="C13" s="8" t="s">
        <v>72</v>
      </c>
      <c r="D13" s="5" t="s">
        <v>47</v>
      </c>
      <c r="E13" s="8" t="s">
        <v>48</v>
      </c>
      <c r="F13" s="8"/>
      <c r="G13" s="8" t="n">
        <v>1000</v>
      </c>
      <c r="H13" s="8" t="n">
        <v>16384</v>
      </c>
      <c r="I13" s="8" t="n">
        <v>1.25</v>
      </c>
      <c r="J13" s="8" t="n">
        <v>10</v>
      </c>
      <c r="K13" s="8" t="n">
        <v>4000000</v>
      </c>
      <c r="L13" s="8" t="n">
        <v>99.9</v>
      </c>
      <c r="M13" s="8" t="n">
        <v>90</v>
      </c>
      <c r="N13" s="8" t="n">
        <v>79</v>
      </c>
      <c r="O13" s="8" t="n">
        <v>6</v>
      </c>
      <c r="P13" s="8" t="n">
        <v>0.5</v>
      </c>
      <c r="Q13" s="8" t="n">
        <v>200</v>
      </c>
      <c r="R13" s="8" t="s">
        <v>49</v>
      </c>
      <c r="S13" s="8" t="s">
        <v>49</v>
      </c>
      <c r="T13" s="8" t="s">
        <v>49</v>
      </c>
      <c r="U13" s="8" t="s">
        <v>49</v>
      </c>
      <c r="V13" s="8" t="s">
        <v>49</v>
      </c>
      <c r="W13" s="8" t="s">
        <v>50</v>
      </c>
      <c r="X13" s="8" t="s">
        <v>70</v>
      </c>
      <c r="Y13" s="8" t="s">
        <v>49</v>
      </c>
      <c r="Z13" s="8" t="s">
        <v>49</v>
      </c>
      <c r="AA13" s="5" t="n">
        <v>8</v>
      </c>
      <c r="AB13" s="5" t="n">
        <v>7</v>
      </c>
      <c r="AC13" s="5" t="n">
        <v>7</v>
      </c>
      <c r="AD13" s="5" t="n">
        <v>7</v>
      </c>
      <c r="AE13" s="5" t="n">
        <v>8</v>
      </c>
      <c r="AF13" s="6" t="n">
        <v>9</v>
      </c>
      <c r="AG13" s="6" t="n">
        <v>9</v>
      </c>
      <c r="AH13" s="8" t="n">
        <v>6</v>
      </c>
      <c r="AI13" s="10" t="n">
        <f aca="false">AA13*0.25+AB13*0.2+AC13*0.15+AD13*0.1+AE13*0.1+AF13*0.05+AG13*0.1+AH13*0.05</f>
        <v>7.6</v>
      </c>
    </row>
    <row r="14" customFormat="false" ht="15" hidden="false" customHeight="false" outlineLevel="0" collapsed="false">
      <c r="A14" s="4" t="s">
        <v>73</v>
      </c>
      <c r="B14" s="4" t="s">
        <v>68</v>
      </c>
      <c r="C14" s="4" t="s">
        <v>72</v>
      </c>
      <c r="D14" s="5" t="s">
        <v>47</v>
      </c>
      <c r="E14" s="4" t="s">
        <v>48</v>
      </c>
      <c r="F14" s="4"/>
      <c r="G14" s="4" t="n">
        <v>1000</v>
      </c>
      <c r="H14" s="4" t="n">
        <v>8192</v>
      </c>
      <c r="I14" s="4" t="n">
        <v>0.15</v>
      </c>
      <c r="J14" s="4" t="n">
        <v>0.6</v>
      </c>
      <c r="K14" s="4" t="n">
        <v>4000000</v>
      </c>
      <c r="L14" s="4" t="n">
        <v>99.9</v>
      </c>
      <c r="M14" s="4" t="n">
        <v>86</v>
      </c>
      <c r="N14" s="4" t="n">
        <v>74</v>
      </c>
      <c r="O14" s="4" t="n">
        <v>6</v>
      </c>
      <c r="P14" s="4" t="n">
        <v>0.3</v>
      </c>
      <c r="Q14" s="4" t="n">
        <v>350</v>
      </c>
      <c r="R14" s="4" t="s">
        <v>49</v>
      </c>
      <c r="S14" s="4" t="s">
        <v>49</v>
      </c>
      <c r="T14" s="4" t="s">
        <v>49</v>
      </c>
      <c r="U14" s="4" t="s">
        <v>49</v>
      </c>
      <c r="V14" s="4" t="s">
        <v>49</v>
      </c>
      <c r="W14" s="4" t="s">
        <v>53</v>
      </c>
      <c r="X14" s="4" t="s">
        <v>70</v>
      </c>
      <c r="Y14" s="4" t="s">
        <v>49</v>
      </c>
      <c r="Z14" s="4" t="s">
        <v>59</v>
      </c>
      <c r="AA14" s="5" t="n">
        <v>7</v>
      </c>
      <c r="AB14" s="6" t="n">
        <v>10</v>
      </c>
      <c r="AC14" s="4" t="n">
        <v>6</v>
      </c>
      <c r="AD14" s="4" t="n">
        <v>5</v>
      </c>
      <c r="AE14" s="6" t="n">
        <v>10</v>
      </c>
      <c r="AF14" s="6" t="n">
        <v>9</v>
      </c>
      <c r="AG14" s="6" t="n">
        <v>9</v>
      </c>
      <c r="AH14" s="5" t="n">
        <v>7</v>
      </c>
      <c r="AI14" s="7" t="n">
        <f aca="false">AA14*0.25+AB14*0.2+AC14*0.15+AD14*0.1+AE14*0.1+AF14*0.05+AG14*0.1+AH14*0.05</f>
        <v>7.85</v>
      </c>
    </row>
    <row r="15" customFormat="false" ht="15" hidden="false" customHeight="false" outlineLevel="0" collapsed="false">
      <c r="A15" s="8" t="s">
        <v>74</v>
      </c>
      <c r="B15" s="8" t="s">
        <v>68</v>
      </c>
      <c r="C15" s="8" t="s">
        <v>75</v>
      </c>
      <c r="D15" s="5" t="s">
        <v>47</v>
      </c>
      <c r="E15" s="8" t="s">
        <v>48</v>
      </c>
      <c r="F15" s="8"/>
      <c r="G15" s="8" t="n">
        <v>1000</v>
      </c>
      <c r="H15" s="8" t="n">
        <v>8192</v>
      </c>
      <c r="I15" s="8" t="n">
        <v>0.1</v>
      </c>
      <c r="J15" s="8" t="n">
        <v>0.4</v>
      </c>
      <c r="K15" s="8" t="n">
        <v>4000000</v>
      </c>
      <c r="L15" s="8" t="n">
        <v>99.9</v>
      </c>
      <c r="M15" s="8" t="n">
        <v>84</v>
      </c>
      <c r="N15" s="8" t="n">
        <v>72</v>
      </c>
      <c r="O15" s="8" t="n">
        <v>7</v>
      </c>
      <c r="P15" s="8" t="n">
        <v>0.34</v>
      </c>
      <c r="Q15" s="8" t="n">
        <v>350</v>
      </c>
      <c r="R15" s="8" t="s">
        <v>49</v>
      </c>
      <c r="S15" s="8" t="s">
        <v>49</v>
      </c>
      <c r="T15" s="8" t="s">
        <v>49</v>
      </c>
      <c r="U15" s="8" t="s">
        <v>49</v>
      </c>
      <c r="V15" s="8" t="s">
        <v>49</v>
      </c>
      <c r="W15" s="8" t="s">
        <v>53</v>
      </c>
      <c r="X15" s="8" t="s">
        <v>70</v>
      </c>
      <c r="Y15" s="8" t="s">
        <v>49</v>
      </c>
      <c r="Z15" s="8" t="s">
        <v>59</v>
      </c>
      <c r="AA15" s="5" t="n">
        <v>7</v>
      </c>
      <c r="AB15" s="6" t="n">
        <v>10</v>
      </c>
      <c r="AC15" s="8" t="n">
        <v>6</v>
      </c>
      <c r="AD15" s="8" t="n">
        <v>5</v>
      </c>
      <c r="AE15" s="6" t="n">
        <v>10</v>
      </c>
      <c r="AF15" s="6" t="n">
        <v>9</v>
      </c>
      <c r="AG15" s="6" t="n">
        <v>9</v>
      </c>
      <c r="AH15" s="5" t="n">
        <v>7</v>
      </c>
      <c r="AI15" s="10" t="n">
        <f aca="false">AA15*0.25+AB15*0.2+AC15*0.15+AD15*0.1+AE15*0.1+AF15*0.05+AG15*0.1+AH15*0.05</f>
        <v>7.85</v>
      </c>
    </row>
    <row r="16" customFormat="false" ht="15" hidden="false" customHeight="false" outlineLevel="0" collapsed="false">
      <c r="A16" s="4" t="s">
        <v>76</v>
      </c>
      <c r="B16" s="4" t="s">
        <v>77</v>
      </c>
      <c r="C16" s="4" t="s">
        <v>61</v>
      </c>
      <c r="D16" s="5" t="s">
        <v>47</v>
      </c>
      <c r="E16" s="4" t="s">
        <v>48</v>
      </c>
      <c r="F16" s="4"/>
      <c r="G16" s="4" t="n">
        <v>131</v>
      </c>
      <c r="H16" s="4" t="n">
        <v>16384</v>
      </c>
      <c r="I16" s="4" t="n">
        <v>3</v>
      </c>
      <c r="J16" s="4" t="n">
        <v>15</v>
      </c>
      <c r="K16" s="4"/>
      <c r="L16" s="4" t="n">
        <v>99</v>
      </c>
      <c r="M16" s="4" t="n">
        <v>92</v>
      </c>
      <c r="N16" s="4" t="n">
        <v>76</v>
      </c>
      <c r="O16" s="4" t="n">
        <v>5</v>
      </c>
      <c r="P16" s="4" t="n">
        <v>0.8</v>
      </c>
      <c r="Q16" s="4" t="n">
        <v>120</v>
      </c>
      <c r="R16" s="4" t="s">
        <v>49</v>
      </c>
      <c r="S16" s="4" t="s">
        <v>49</v>
      </c>
      <c r="T16" s="4" t="s">
        <v>49</v>
      </c>
      <c r="U16" s="4" t="s">
        <v>49</v>
      </c>
      <c r="V16" s="4" t="s">
        <v>49</v>
      </c>
      <c r="W16" s="4" t="s">
        <v>53</v>
      </c>
      <c r="X16" s="4" t="s">
        <v>53</v>
      </c>
      <c r="Y16" s="4" t="s">
        <v>49</v>
      </c>
      <c r="Z16" s="4" t="s">
        <v>59</v>
      </c>
      <c r="AA16" s="6" t="n">
        <v>9</v>
      </c>
      <c r="AB16" s="4" t="n">
        <v>6</v>
      </c>
      <c r="AC16" s="5" t="n">
        <v>7</v>
      </c>
      <c r="AD16" s="5" t="n">
        <v>8</v>
      </c>
      <c r="AE16" s="4" t="n">
        <v>6</v>
      </c>
      <c r="AF16" s="5" t="n">
        <v>8</v>
      </c>
      <c r="AG16" s="5" t="n">
        <v>7</v>
      </c>
      <c r="AH16" s="5" t="n">
        <v>7</v>
      </c>
      <c r="AI16" s="7" t="n">
        <f aca="false">AA16*0.25+AB16*0.2+AC16*0.15+AD16*0.1+AE16*0.1+AF16*0.05+AG16*0.1+AH16*0.05</f>
        <v>7.35</v>
      </c>
    </row>
    <row r="17" customFormat="false" ht="15" hidden="false" customHeight="false" outlineLevel="0" collapsed="false">
      <c r="A17" s="8" t="s">
        <v>78</v>
      </c>
      <c r="B17" s="8" t="s">
        <v>77</v>
      </c>
      <c r="C17" s="8" t="s">
        <v>46</v>
      </c>
      <c r="D17" s="5" t="s">
        <v>47</v>
      </c>
      <c r="E17" s="8" t="s">
        <v>48</v>
      </c>
      <c r="F17" s="8"/>
      <c r="G17" s="8" t="n">
        <v>2000</v>
      </c>
      <c r="H17" s="8" t="n">
        <v>16384</v>
      </c>
      <c r="I17" s="8" t="n">
        <v>0.2</v>
      </c>
      <c r="J17" s="8" t="n">
        <v>0.5</v>
      </c>
      <c r="K17" s="8"/>
      <c r="L17" s="8" t="n">
        <v>99</v>
      </c>
      <c r="M17" s="8" t="n">
        <v>88</v>
      </c>
      <c r="N17" s="8" t="n">
        <v>72</v>
      </c>
      <c r="O17" s="8" t="n">
        <v>7</v>
      </c>
      <c r="P17" s="8" t="n">
        <v>0.3</v>
      </c>
      <c r="Q17" s="8" t="n">
        <v>400</v>
      </c>
      <c r="R17" s="8" t="s">
        <v>49</v>
      </c>
      <c r="S17" s="8" t="s">
        <v>49</v>
      </c>
      <c r="T17" s="8" t="s">
        <v>49</v>
      </c>
      <c r="U17" s="8" t="s">
        <v>49</v>
      </c>
      <c r="V17" s="8" t="s">
        <v>49</v>
      </c>
      <c r="W17" s="8" t="s">
        <v>53</v>
      </c>
      <c r="X17" s="8" t="s">
        <v>53</v>
      </c>
      <c r="Y17" s="8" t="s">
        <v>49</v>
      </c>
      <c r="Z17" s="8" t="s">
        <v>59</v>
      </c>
      <c r="AA17" s="5" t="n">
        <v>7</v>
      </c>
      <c r="AB17" s="6" t="n">
        <v>10</v>
      </c>
      <c r="AC17" s="8" t="n">
        <v>6</v>
      </c>
      <c r="AD17" s="8" t="n">
        <v>6</v>
      </c>
      <c r="AE17" s="6" t="n">
        <v>10</v>
      </c>
      <c r="AF17" s="5" t="n">
        <v>8</v>
      </c>
      <c r="AG17" s="5" t="n">
        <v>7</v>
      </c>
      <c r="AH17" s="8" t="n">
        <v>6</v>
      </c>
      <c r="AI17" s="10" t="n">
        <f aca="false">AA17*0.25+AB17*0.2+AC17*0.15+AD17*0.1+AE17*0.1+AF17*0.05+AG17*0.1+AH17*0.05</f>
        <v>7.65</v>
      </c>
    </row>
    <row r="18" customFormat="false" ht="15" hidden="false" customHeight="false" outlineLevel="0" collapsed="false">
      <c r="A18" s="4" t="s">
        <v>79</v>
      </c>
      <c r="B18" s="4" t="s">
        <v>80</v>
      </c>
      <c r="C18" s="4" t="s">
        <v>81</v>
      </c>
      <c r="D18" s="5" t="s">
        <v>47</v>
      </c>
      <c r="E18" s="4" t="s">
        <v>82</v>
      </c>
      <c r="F18" s="4" t="s">
        <v>83</v>
      </c>
      <c r="G18" s="4" t="n">
        <v>32</v>
      </c>
      <c r="H18" s="4" t="n">
        <v>4096</v>
      </c>
      <c r="I18" s="4" t="n">
        <v>0.15</v>
      </c>
      <c r="J18" s="4" t="n">
        <v>0.6</v>
      </c>
      <c r="K18" s="4"/>
      <c r="L18" s="4" t="n">
        <v>99</v>
      </c>
      <c r="M18" s="4" t="n">
        <v>78</v>
      </c>
      <c r="N18" s="4" t="n">
        <v>62</v>
      </c>
      <c r="O18" s="4" t="n">
        <v>7</v>
      </c>
      <c r="P18" s="4" t="n">
        <v>0.4</v>
      </c>
      <c r="Q18" s="4" t="n">
        <v>220</v>
      </c>
      <c r="R18" s="4" t="s">
        <v>84</v>
      </c>
      <c r="S18" s="4" t="s">
        <v>57</v>
      </c>
      <c r="T18" s="4" t="s">
        <v>49</v>
      </c>
      <c r="U18" s="4" t="s">
        <v>49</v>
      </c>
      <c r="V18" s="4" t="s">
        <v>49</v>
      </c>
      <c r="W18" s="4" t="s">
        <v>58</v>
      </c>
      <c r="X18" s="4" t="s">
        <v>85</v>
      </c>
      <c r="Y18" s="4" t="s">
        <v>59</v>
      </c>
      <c r="Z18" s="4" t="s">
        <v>59</v>
      </c>
      <c r="AA18" s="4" t="n">
        <v>6</v>
      </c>
      <c r="AB18" s="6" t="n">
        <v>9</v>
      </c>
      <c r="AC18" s="6" t="n">
        <v>9</v>
      </c>
      <c r="AD18" s="4" t="n">
        <v>5</v>
      </c>
      <c r="AE18" s="5" t="n">
        <v>8</v>
      </c>
      <c r="AF18" s="5" t="n">
        <v>7</v>
      </c>
      <c r="AG18" s="6" t="n">
        <v>10</v>
      </c>
      <c r="AH18" s="4" t="n">
        <v>5</v>
      </c>
      <c r="AI18" s="7" t="n">
        <f aca="false">AA18*0.25+AB18*0.2+AC18*0.15+AD18*0.1+AE18*0.1+AF18*0.05+AG18*0.1+AH18*0.05</f>
        <v>7.55</v>
      </c>
    </row>
    <row r="19" customFormat="false" ht="15" hidden="false" customHeight="false" outlineLevel="0" collapsed="false">
      <c r="A19" s="8" t="s">
        <v>86</v>
      </c>
      <c r="B19" s="8" t="s">
        <v>80</v>
      </c>
      <c r="C19" s="8" t="s">
        <v>61</v>
      </c>
      <c r="D19" s="5" t="s">
        <v>47</v>
      </c>
      <c r="E19" s="8" t="s">
        <v>82</v>
      </c>
      <c r="F19" s="8" t="s">
        <v>87</v>
      </c>
      <c r="G19" s="8" t="n">
        <v>32</v>
      </c>
      <c r="H19" s="8" t="n">
        <v>4096</v>
      </c>
      <c r="I19" s="8" t="n">
        <v>1</v>
      </c>
      <c r="J19" s="8" t="n">
        <v>3</v>
      </c>
      <c r="K19" s="8"/>
      <c r="L19" s="8" t="n">
        <v>99</v>
      </c>
      <c r="M19" s="8" t="n">
        <v>74</v>
      </c>
      <c r="N19" s="8" t="n">
        <v>58</v>
      </c>
      <c r="O19" s="8" t="n">
        <v>7</v>
      </c>
      <c r="P19" s="8" t="n">
        <v>0.5</v>
      </c>
      <c r="Q19" s="8" t="n">
        <v>180</v>
      </c>
      <c r="R19" s="8" t="s">
        <v>84</v>
      </c>
      <c r="S19" s="8" t="s">
        <v>57</v>
      </c>
      <c r="T19" s="8" t="s">
        <v>49</v>
      </c>
      <c r="U19" s="8" t="s">
        <v>49</v>
      </c>
      <c r="V19" s="8" t="s">
        <v>49</v>
      </c>
      <c r="W19" s="8" t="s">
        <v>58</v>
      </c>
      <c r="X19" s="8" t="s">
        <v>85</v>
      </c>
      <c r="Y19" s="8" t="s">
        <v>59</v>
      </c>
      <c r="Z19" s="8" t="s">
        <v>59</v>
      </c>
      <c r="AA19" s="8" t="n">
        <v>5</v>
      </c>
      <c r="AB19" s="5" t="n">
        <v>8</v>
      </c>
      <c r="AC19" s="6" t="n">
        <v>9</v>
      </c>
      <c r="AD19" s="8" t="n">
        <v>5</v>
      </c>
      <c r="AE19" s="5" t="n">
        <v>8</v>
      </c>
      <c r="AF19" s="8" t="n">
        <v>6</v>
      </c>
      <c r="AG19" s="6" t="n">
        <v>10</v>
      </c>
      <c r="AH19" s="8" t="n">
        <v>5</v>
      </c>
      <c r="AI19" s="10" t="n">
        <f aca="false">AA19*0.25+AB19*0.2+AC19*0.15+AD19*0.1+AE19*0.1+AF19*0.05+AG19*0.1+AH19*0.05</f>
        <v>7.05</v>
      </c>
    </row>
    <row r="20" customFormat="false" ht="15" hidden="false" customHeight="false" outlineLevel="0" collapsed="false">
      <c r="A20" s="4" t="s">
        <v>88</v>
      </c>
      <c r="B20" s="4" t="s">
        <v>89</v>
      </c>
      <c r="C20" s="4" t="s">
        <v>81</v>
      </c>
      <c r="D20" s="5" t="s">
        <v>47</v>
      </c>
      <c r="E20" s="4" t="s">
        <v>82</v>
      </c>
      <c r="F20" s="4" t="s">
        <v>90</v>
      </c>
      <c r="G20" s="4" t="n">
        <v>256</v>
      </c>
      <c r="H20" s="4" t="n">
        <v>16384</v>
      </c>
      <c r="I20" s="4"/>
      <c r="J20" s="4"/>
      <c r="K20" s="4"/>
      <c r="L20" s="4" t="n">
        <v>99</v>
      </c>
      <c r="M20" s="4" t="n">
        <v>89</v>
      </c>
      <c r="N20" s="4" t="n">
        <v>72</v>
      </c>
      <c r="O20" s="4" t="n">
        <v>5</v>
      </c>
      <c r="P20" s="4" t="n">
        <v>0.6</v>
      </c>
      <c r="Q20" s="4" t="n">
        <v>180</v>
      </c>
      <c r="R20" s="4" t="s">
        <v>49</v>
      </c>
      <c r="S20" s="4" t="s">
        <v>49</v>
      </c>
      <c r="T20" s="4" t="s">
        <v>49</v>
      </c>
      <c r="U20" s="4" t="s">
        <v>49</v>
      </c>
      <c r="V20" s="4" t="s">
        <v>49</v>
      </c>
      <c r="W20" s="4" t="s">
        <v>58</v>
      </c>
      <c r="X20" s="4" t="s">
        <v>53</v>
      </c>
      <c r="Y20" s="4" t="s">
        <v>59</v>
      </c>
      <c r="Z20" s="4" t="s">
        <v>57</v>
      </c>
      <c r="AA20" s="5" t="n">
        <v>8</v>
      </c>
      <c r="AB20" s="4" t="n">
        <v>6</v>
      </c>
      <c r="AC20" s="5" t="n">
        <v>8</v>
      </c>
      <c r="AD20" s="5" t="n">
        <v>7</v>
      </c>
      <c r="AE20" s="5" t="n">
        <v>7</v>
      </c>
      <c r="AF20" s="5" t="n">
        <v>7</v>
      </c>
      <c r="AG20" s="6" t="n">
        <v>10</v>
      </c>
      <c r="AH20" s="4" t="n">
        <v>6</v>
      </c>
      <c r="AI20" s="7" t="n">
        <f aca="false">AA20*0.25+AB20*0.2+AC20*0.15+AD20*0.1+AE20*0.1+AF20*0.05+AG20*0.1+AH20*0.05</f>
        <v>7.45</v>
      </c>
    </row>
    <row r="21" customFormat="false" ht="15" hidden="false" customHeight="false" outlineLevel="0" collapsed="false">
      <c r="A21" s="8" t="s">
        <v>91</v>
      </c>
      <c r="B21" s="8" t="s">
        <v>89</v>
      </c>
      <c r="C21" s="8" t="s">
        <v>92</v>
      </c>
      <c r="D21" s="5" t="s">
        <v>47</v>
      </c>
      <c r="E21" s="8" t="s">
        <v>82</v>
      </c>
      <c r="F21" s="8" t="s">
        <v>93</v>
      </c>
      <c r="G21" s="8" t="n">
        <v>128</v>
      </c>
      <c r="H21" s="8" t="n">
        <v>8192</v>
      </c>
      <c r="I21" s="8" t="n">
        <v>0.6</v>
      </c>
      <c r="J21" s="8" t="n">
        <v>1</v>
      </c>
      <c r="K21" s="8"/>
      <c r="L21" s="8" t="n">
        <v>99</v>
      </c>
      <c r="M21" s="8" t="n">
        <v>85</v>
      </c>
      <c r="N21" s="8" t="n">
        <v>62</v>
      </c>
      <c r="O21" s="8" t="n">
        <v>6</v>
      </c>
      <c r="P21" s="8" t="n">
        <v>0.7</v>
      </c>
      <c r="Q21" s="8" t="n">
        <v>140</v>
      </c>
      <c r="R21" s="8" t="s">
        <v>49</v>
      </c>
      <c r="S21" s="8" t="s">
        <v>49</v>
      </c>
      <c r="T21" s="8" t="s">
        <v>49</v>
      </c>
      <c r="U21" s="8" t="s">
        <v>49</v>
      </c>
      <c r="V21" s="8" t="s">
        <v>49</v>
      </c>
      <c r="W21" s="8" t="s">
        <v>58</v>
      </c>
      <c r="X21" s="8" t="s">
        <v>53</v>
      </c>
      <c r="Y21" s="8" t="s">
        <v>59</v>
      </c>
      <c r="Z21" s="8" t="s">
        <v>57</v>
      </c>
      <c r="AA21" s="5" t="n">
        <v>7</v>
      </c>
      <c r="AB21" s="5" t="n">
        <v>8</v>
      </c>
      <c r="AC21" s="5" t="n">
        <v>8</v>
      </c>
      <c r="AD21" s="5" t="n">
        <v>7</v>
      </c>
      <c r="AE21" s="5" t="n">
        <v>7</v>
      </c>
      <c r="AF21" s="5" t="n">
        <v>7</v>
      </c>
      <c r="AG21" s="6" t="n">
        <v>10</v>
      </c>
      <c r="AH21" s="8" t="n">
        <v>6</v>
      </c>
      <c r="AI21" s="10" t="n">
        <f aca="false">AA21*0.25+AB21*0.2+AC21*0.15+AD21*0.1+AE21*0.1+AF21*0.05+AG21*0.1+AH21*0.05</f>
        <v>7.6</v>
      </c>
    </row>
    <row r="22" customFormat="false" ht="15" hidden="false" customHeight="false" outlineLevel="0" collapsed="false">
      <c r="A22" s="4" t="s">
        <v>94</v>
      </c>
      <c r="B22" s="4" t="s">
        <v>95</v>
      </c>
      <c r="C22" s="4" t="s">
        <v>46</v>
      </c>
      <c r="D22" s="11" t="s">
        <v>96</v>
      </c>
      <c r="E22" s="4" t="s">
        <v>96</v>
      </c>
      <c r="F22" s="4" t="s">
        <v>97</v>
      </c>
      <c r="G22" s="4" t="n">
        <v>262</v>
      </c>
      <c r="H22" s="4" t="n">
        <v>16384</v>
      </c>
      <c r="I22" s="4" t="n">
        <v>0.39</v>
      </c>
      <c r="J22" s="4" t="n">
        <v>2.34</v>
      </c>
      <c r="K22" s="4"/>
      <c r="L22" s="4"/>
      <c r="M22" s="4" t="n">
        <v>92</v>
      </c>
      <c r="N22" s="4" t="n">
        <v>75</v>
      </c>
      <c r="O22" s="4" t="n">
        <v>5</v>
      </c>
      <c r="P22" s="4" t="n">
        <v>0.5</v>
      </c>
      <c r="Q22" s="4" t="n">
        <v>200</v>
      </c>
      <c r="R22" s="4" t="s">
        <v>49</v>
      </c>
      <c r="S22" s="4" t="s">
        <v>49</v>
      </c>
      <c r="T22" s="4" t="s">
        <v>49</v>
      </c>
      <c r="U22" s="4" t="s">
        <v>49</v>
      </c>
      <c r="V22" s="4" t="s">
        <v>49</v>
      </c>
      <c r="W22" s="4" t="s">
        <v>50</v>
      </c>
      <c r="X22" s="4" t="s">
        <v>53</v>
      </c>
      <c r="Y22" s="4" t="s">
        <v>59</v>
      </c>
      <c r="Z22" s="4" t="s">
        <v>57</v>
      </c>
      <c r="AA22" s="5" t="n">
        <v>8</v>
      </c>
      <c r="AB22" s="6" t="n">
        <v>9</v>
      </c>
      <c r="AC22" s="4" t="n">
        <v>6</v>
      </c>
      <c r="AD22" s="4" t="n">
        <v>6</v>
      </c>
      <c r="AE22" s="5" t="n">
        <v>8</v>
      </c>
      <c r="AF22" s="5" t="n">
        <v>7</v>
      </c>
      <c r="AG22" s="4" t="n">
        <v>5</v>
      </c>
      <c r="AH22" s="4" t="n">
        <v>6</v>
      </c>
      <c r="AI22" s="7" t="n">
        <f aca="false">AA22*0.25+AB22*0.2+AC22*0.15+AD22*0.1+AE22*0.1+AF22*0.05+AG22*0.1+AH22*0.05</f>
        <v>7.25</v>
      </c>
    </row>
    <row r="23" customFormat="false" ht="15" hidden="false" customHeight="false" outlineLevel="0" collapsed="false">
      <c r="A23" s="8" t="s">
        <v>98</v>
      </c>
      <c r="B23" s="8" t="s">
        <v>95</v>
      </c>
      <c r="C23" s="8" t="s">
        <v>46</v>
      </c>
      <c r="D23" s="11" t="s">
        <v>96</v>
      </c>
      <c r="E23" s="8" t="s">
        <v>96</v>
      </c>
      <c r="F23" s="8" t="s">
        <v>99</v>
      </c>
      <c r="G23" s="8" t="n">
        <v>1000</v>
      </c>
      <c r="H23" s="8" t="n">
        <v>8192</v>
      </c>
      <c r="I23" s="8" t="n">
        <v>0.1</v>
      </c>
      <c r="J23" s="8" t="n">
        <v>0.4</v>
      </c>
      <c r="K23" s="8"/>
      <c r="L23" s="8"/>
      <c r="M23" s="8" t="n">
        <v>84</v>
      </c>
      <c r="N23" s="8" t="n">
        <v>66</v>
      </c>
      <c r="O23" s="8" t="n">
        <v>7</v>
      </c>
      <c r="P23" s="8" t="n">
        <v>0.3</v>
      </c>
      <c r="Q23" s="8" t="n">
        <v>400</v>
      </c>
      <c r="R23" s="8" t="s">
        <v>49</v>
      </c>
      <c r="S23" s="8" t="s">
        <v>49</v>
      </c>
      <c r="T23" s="8" t="s">
        <v>49</v>
      </c>
      <c r="U23" s="8" t="s">
        <v>49</v>
      </c>
      <c r="V23" s="8" t="s">
        <v>49</v>
      </c>
      <c r="W23" s="8" t="s">
        <v>53</v>
      </c>
      <c r="X23" s="8" t="s">
        <v>53</v>
      </c>
      <c r="Y23" s="8" t="s">
        <v>59</v>
      </c>
      <c r="Z23" s="8" t="s">
        <v>57</v>
      </c>
      <c r="AA23" s="8" t="n">
        <v>6</v>
      </c>
      <c r="AB23" s="6" t="n">
        <v>10</v>
      </c>
      <c r="AC23" s="8" t="n">
        <v>5</v>
      </c>
      <c r="AD23" s="9" t="n">
        <v>4</v>
      </c>
      <c r="AE23" s="6" t="n">
        <v>10</v>
      </c>
      <c r="AF23" s="5" t="n">
        <v>7</v>
      </c>
      <c r="AG23" s="8" t="n">
        <v>5</v>
      </c>
      <c r="AH23" s="8" t="n">
        <v>5</v>
      </c>
      <c r="AI23" s="10" t="n">
        <f aca="false">AA23*0.25+AB23*0.2+AC23*0.15+AD23*0.1+AE23*0.1+AF23*0.05+AG23*0.1+AH23*0.05</f>
        <v>6.75</v>
      </c>
    </row>
    <row r="24" customFormat="false" ht="15" hidden="false" customHeight="false" outlineLevel="0" collapsed="false">
      <c r="A24" s="4" t="s">
        <v>100</v>
      </c>
      <c r="B24" s="4" t="s">
        <v>95</v>
      </c>
      <c r="C24" s="4" t="s">
        <v>46</v>
      </c>
      <c r="D24" s="11" t="s">
        <v>96</v>
      </c>
      <c r="E24" s="4" t="s">
        <v>96</v>
      </c>
      <c r="F24" s="4" t="s">
        <v>101</v>
      </c>
      <c r="G24" s="4" t="n">
        <v>131</v>
      </c>
      <c r="H24" s="4" t="n">
        <v>8192</v>
      </c>
      <c r="I24" s="4" t="n">
        <v>0.08</v>
      </c>
      <c r="J24" s="4" t="n">
        <v>0.24</v>
      </c>
      <c r="K24" s="4"/>
      <c r="L24" s="4"/>
      <c r="M24" s="4" t="n">
        <v>82</v>
      </c>
      <c r="N24" s="4" t="n">
        <v>63</v>
      </c>
      <c r="O24" s="4" t="n">
        <v>8</v>
      </c>
      <c r="P24" s="4" t="n">
        <v>0.25</v>
      </c>
      <c r="Q24" s="4" t="n">
        <v>450</v>
      </c>
      <c r="R24" s="4" t="s">
        <v>49</v>
      </c>
      <c r="S24" s="4" t="s">
        <v>57</v>
      </c>
      <c r="T24" s="4" t="s">
        <v>49</v>
      </c>
      <c r="U24" s="4" t="s">
        <v>49</v>
      </c>
      <c r="V24" s="4" t="s">
        <v>49</v>
      </c>
      <c r="W24" s="4" t="s">
        <v>50</v>
      </c>
      <c r="X24" s="4" t="s">
        <v>53</v>
      </c>
      <c r="Y24" s="4" t="s">
        <v>59</v>
      </c>
      <c r="Z24" s="4" t="s">
        <v>57</v>
      </c>
      <c r="AA24" s="4" t="n">
        <v>5</v>
      </c>
      <c r="AB24" s="6" t="n">
        <v>10</v>
      </c>
      <c r="AC24" s="4" t="n">
        <v>5</v>
      </c>
      <c r="AD24" s="9" t="n">
        <v>4</v>
      </c>
      <c r="AE24" s="6" t="n">
        <v>10</v>
      </c>
      <c r="AF24" s="4" t="n">
        <v>6</v>
      </c>
      <c r="AG24" s="4" t="n">
        <v>5</v>
      </c>
      <c r="AH24" s="4" t="n">
        <v>5</v>
      </c>
      <c r="AI24" s="7" t="n">
        <f aca="false">AA24*0.25+AB24*0.2+AC24*0.15+AD24*0.1+AE24*0.1+AF24*0.05+AG24*0.1+AH24*0.05</f>
        <v>6.45</v>
      </c>
    </row>
    <row r="25" customFormat="false" ht="15" hidden="false" customHeight="false" outlineLevel="0" collapsed="false">
      <c r="A25" s="8" t="s">
        <v>102</v>
      </c>
      <c r="B25" s="8" t="s">
        <v>95</v>
      </c>
      <c r="C25" s="8" t="s">
        <v>72</v>
      </c>
      <c r="D25" s="11" t="s">
        <v>96</v>
      </c>
      <c r="E25" s="8" t="s">
        <v>96</v>
      </c>
      <c r="F25" s="8" t="s">
        <v>99</v>
      </c>
      <c r="G25" s="8" t="n">
        <v>262</v>
      </c>
      <c r="H25" s="8" t="n">
        <v>16384</v>
      </c>
      <c r="I25" s="8" t="n">
        <v>1.2</v>
      </c>
      <c r="J25" s="8" t="n">
        <v>6</v>
      </c>
      <c r="K25" s="8"/>
      <c r="L25" s="8"/>
      <c r="M25" s="8" t="n">
        <v>91</v>
      </c>
      <c r="N25" s="8" t="n">
        <v>73</v>
      </c>
      <c r="O25" s="8" t="n">
        <v>5</v>
      </c>
      <c r="P25" s="8" t="n">
        <v>0.5</v>
      </c>
      <c r="Q25" s="8" t="n">
        <v>180</v>
      </c>
      <c r="R25" s="8" t="s">
        <v>49</v>
      </c>
      <c r="S25" s="8" t="s">
        <v>49</v>
      </c>
      <c r="T25" s="8" t="s">
        <v>49</v>
      </c>
      <c r="U25" s="8" t="s">
        <v>49</v>
      </c>
      <c r="V25" s="8" t="s">
        <v>49</v>
      </c>
      <c r="W25" s="8" t="s">
        <v>58</v>
      </c>
      <c r="X25" s="8" t="s">
        <v>53</v>
      </c>
      <c r="Y25" s="8" t="s">
        <v>59</v>
      </c>
      <c r="Z25" s="8" t="s">
        <v>57</v>
      </c>
      <c r="AA25" s="5" t="n">
        <v>8</v>
      </c>
      <c r="AB25" s="5" t="n">
        <v>7</v>
      </c>
      <c r="AC25" s="8" t="n">
        <v>6</v>
      </c>
      <c r="AD25" s="8" t="n">
        <v>6</v>
      </c>
      <c r="AE25" s="5" t="n">
        <v>7</v>
      </c>
      <c r="AF25" s="5" t="n">
        <v>7</v>
      </c>
      <c r="AG25" s="8" t="n">
        <v>5</v>
      </c>
      <c r="AH25" s="8" t="n">
        <v>6</v>
      </c>
      <c r="AI25" s="10" t="n">
        <f aca="false">AA25*0.25+AB25*0.2+AC25*0.15+AD25*0.1+AE25*0.1+AF25*0.05+AG25*0.1+AH25*0.05</f>
        <v>6.75</v>
      </c>
    </row>
    <row r="26" customFormat="false" ht="15" hidden="false" customHeight="false" outlineLevel="0" collapsed="false">
      <c r="A26" s="4" t="s">
        <v>103</v>
      </c>
      <c r="B26" s="4" t="s">
        <v>95</v>
      </c>
      <c r="C26" s="4" t="s">
        <v>104</v>
      </c>
      <c r="D26" s="11" t="s">
        <v>96</v>
      </c>
      <c r="E26" s="4" t="s">
        <v>96</v>
      </c>
      <c r="F26" s="4" t="s">
        <v>93</v>
      </c>
      <c r="G26" s="4" t="n">
        <v>131</v>
      </c>
      <c r="H26" s="4" t="n">
        <v>8192</v>
      </c>
      <c r="I26" s="4" t="n">
        <v>0.1</v>
      </c>
      <c r="J26" s="4" t="n">
        <v>0.3</v>
      </c>
      <c r="K26" s="4"/>
      <c r="L26" s="4"/>
      <c r="M26" s="4" t="n">
        <v>83</v>
      </c>
      <c r="N26" s="4" t="n">
        <v>65</v>
      </c>
      <c r="O26" s="4" t="n">
        <v>7</v>
      </c>
      <c r="P26" s="4" t="n">
        <v>0.3</v>
      </c>
      <c r="Q26" s="4" t="n">
        <v>350</v>
      </c>
      <c r="R26" s="4" t="s">
        <v>49</v>
      </c>
      <c r="S26" s="4" t="s">
        <v>57</v>
      </c>
      <c r="T26" s="4" t="s">
        <v>49</v>
      </c>
      <c r="U26" s="4" t="s">
        <v>49</v>
      </c>
      <c r="V26" s="4" t="s">
        <v>49</v>
      </c>
      <c r="W26" s="4" t="s">
        <v>50</v>
      </c>
      <c r="X26" s="4" t="s">
        <v>53</v>
      </c>
      <c r="Y26" s="4" t="s">
        <v>59</v>
      </c>
      <c r="Z26" s="4" t="s">
        <v>57</v>
      </c>
      <c r="AA26" s="4" t="n">
        <v>5</v>
      </c>
      <c r="AB26" s="6" t="n">
        <v>10</v>
      </c>
      <c r="AC26" s="4" t="n">
        <v>5</v>
      </c>
      <c r="AD26" s="9" t="n">
        <v>4</v>
      </c>
      <c r="AE26" s="6" t="n">
        <v>9</v>
      </c>
      <c r="AF26" s="4" t="n">
        <v>6</v>
      </c>
      <c r="AG26" s="4" t="n">
        <v>5</v>
      </c>
      <c r="AH26" s="4" t="n">
        <v>5</v>
      </c>
      <c r="AI26" s="7" t="n">
        <f aca="false">AA26*0.25+AB26*0.2+AC26*0.15+AD26*0.1+AE26*0.1+AF26*0.05+AG26*0.1+AH26*0.05</f>
        <v>6.35</v>
      </c>
    </row>
    <row r="27" customFormat="false" ht="15" hidden="false" customHeight="false" outlineLevel="0" collapsed="false">
      <c r="A27" s="8" t="s">
        <v>105</v>
      </c>
      <c r="B27" s="8" t="s">
        <v>106</v>
      </c>
      <c r="C27" s="8" t="s">
        <v>61</v>
      </c>
      <c r="D27" s="11" t="s">
        <v>96</v>
      </c>
      <c r="E27" s="8" t="s">
        <v>96</v>
      </c>
      <c r="F27" s="8" t="s">
        <v>107</v>
      </c>
      <c r="G27" s="8" t="n">
        <v>128</v>
      </c>
      <c r="H27" s="8" t="n">
        <v>16384</v>
      </c>
      <c r="I27" s="8" t="n">
        <v>0.28</v>
      </c>
      <c r="J27" s="8" t="n">
        <v>0.42</v>
      </c>
      <c r="K27" s="8" t="n">
        <v>500000</v>
      </c>
      <c r="L27" s="8"/>
      <c r="M27" s="8" t="n">
        <v>94.2</v>
      </c>
      <c r="N27" s="8" t="n">
        <v>75</v>
      </c>
      <c r="O27" s="8" t="n">
        <v>5</v>
      </c>
      <c r="P27" s="8" t="n">
        <v>0.5</v>
      </c>
      <c r="Q27" s="8" t="n">
        <v>200</v>
      </c>
      <c r="R27" s="8" t="s">
        <v>49</v>
      </c>
      <c r="S27" s="8" t="s">
        <v>49</v>
      </c>
      <c r="T27" s="8" t="s">
        <v>49</v>
      </c>
      <c r="U27" s="8" t="s">
        <v>49</v>
      </c>
      <c r="V27" s="8" t="s">
        <v>49</v>
      </c>
      <c r="W27" s="8" t="s">
        <v>58</v>
      </c>
      <c r="X27" s="8" t="s">
        <v>53</v>
      </c>
      <c r="Y27" s="8" t="s">
        <v>57</v>
      </c>
      <c r="Z27" s="8" t="s">
        <v>57</v>
      </c>
      <c r="AA27" s="5" t="n">
        <v>8</v>
      </c>
      <c r="AB27" s="6" t="n">
        <v>9</v>
      </c>
      <c r="AC27" s="8" t="n">
        <v>6</v>
      </c>
      <c r="AD27" s="5" t="n">
        <v>7</v>
      </c>
      <c r="AE27" s="5" t="n">
        <v>7</v>
      </c>
      <c r="AF27" s="8" t="n">
        <v>6</v>
      </c>
      <c r="AG27" s="9" t="n">
        <v>4</v>
      </c>
      <c r="AH27" s="8" t="n">
        <v>6</v>
      </c>
      <c r="AI27" s="10" t="n">
        <f aca="false">AA27*0.25+AB27*0.2+AC27*0.15+AD27*0.1+AE27*0.1+AF27*0.05+AG27*0.1+AH27*0.05</f>
        <v>7.1</v>
      </c>
    </row>
    <row r="28" customFormat="false" ht="15" hidden="false" customHeight="false" outlineLevel="0" collapsed="false">
      <c r="A28" s="4" t="s">
        <v>108</v>
      </c>
      <c r="B28" s="4" t="s">
        <v>106</v>
      </c>
      <c r="C28" s="4" t="s">
        <v>75</v>
      </c>
      <c r="D28" s="11" t="s">
        <v>96</v>
      </c>
      <c r="E28" s="4" t="s">
        <v>96</v>
      </c>
      <c r="F28" s="4" t="s">
        <v>109</v>
      </c>
      <c r="G28" s="4" t="n">
        <v>128</v>
      </c>
      <c r="H28" s="4" t="n">
        <v>32768</v>
      </c>
      <c r="I28" s="4" t="n">
        <v>0.55</v>
      </c>
      <c r="J28" s="4" t="n">
        <v>2.19</v>
      </c>
      <c r="K28" s="4" t="n">
        <v>500000</v>
      </c>
      <c r="L28" s="4"/>
      <c r="M28" s="4" t="n">
        <v>90</v>
      </c>
      <c r="N28" s="4" t="n">
        <v>72</v>
      </c>
      <c r="O28" s="4" t="n">
        <v>5</v>
      </c>
      <c r="P28" s="4" t="n">
        <v>1.5</v>
      </c>
      <c r="Q28" s="4" t="n">
        <v>80</v>
      </c>
      <c r="R28" s="4" t="s">
        <v>49</v>
      </c>
      <c r="S28" s="4" t="s">
        <v>57</v>
      </c>
      <c r="T28" s="4" t="s">
        <v>57</v>
      </c>
      <c r="U28" s="4" t="s">
        <v>49</v>
      </c>
      <c r="V28" s="4" t="s">
        <v>49</v>
      </c>
      <c r="W28" s="4" t="s">
        <v>58</v>
      </c>
      <c r="X28" s="4" t="s">
        <v>53</v>
      </c>
      <c r="Y28" s="4" t="s">
        <v>57</v>
      </c>
      <c r="Z28" s="4" t="s">
        <v>57</v>
      </c>
      <c r="AA28" s="5" t="n">
        <v>8</v>
      </c>
      <c r="AB28" s="5" t="n">
        <v>8</v>
      </c>
      <c r="AC28" s="4" t="n">
        <v>6</v>
      </c>
      <c r="AD28" s="5" t="n">
        <v>7</v>
      </c>
      <c r="AE28" s="4" t="n">
        <v>5</v>
      </c>
      <c r="AF28" s="4" t="n">
        <v>6</v>
      </c>
      <c r="AG28" s="9" t="n">
        <v>4</v>
      </c>
      <c r="AH28" s="4" t="n">
        <v>6</v>
      </c>
      <c r="AI28" s="7" t="n">
        <f aca="false">AA28*0.25+AB28*0.2+AC28*0.15+AD28*0.1+AE28*0.1+AF28*0.05+AG28*0.1+AH28*0.05</f>
        <v>6.7</v>
      </c>
    </row>
    <row r="29" customFormat="false" ht="15" hidden="false" customHeight="false" outlineLevel="0" collapsed="false">
      <c r="A29" s="8" t="s">
        <v>110</v>
      </c>
      <c r="B29" s="8" t="s">
        <v>111</v>
      </c>
      <c r="C29" s="8" t="s">
        <v>46</v>
      </c>
      <c r="D29" s="11" t="s">
        <v>96</v>
      </c>
      <c r="E29" s="8" t="s">
        <v>96</v>
      </c>
      <c r="F29" s="8" t="s">
        <v>112</v>
      </c>
      <c r="G29" s="8" t="n">
        <v>200</v>
      </c>
      <c r="H29" s="8" t="n">
        <v>16384</v>
      </c>
      <c r="I29" s="8" t="n">
        <v>1</v>
      </c>
      <c r="J29" s="8" t="n">
        <v>3.2</v>
      </c>
      <c r="K29" s="8"/>
      <c r="L29" s="8"/>
      <c r="M29" s="8" t="n">
        <v>91</v>
      </c>
      <c r="N29" s="8" t="n">
        <v>68</v>
      </c>
      <c r="O29" s="8" t="n">
        <v>4</v>
      </c>
      <c r="P29" s="8" t="n">
        <v>0.8</v>
      </c>
      <c r="Q29" s="8" t="n">
        <v>120</v>
      </c>
      <c r="R29" s="8" t="s">
        <v>49</v>
      </c>
      <c r="S29" s="8" t="s">
        <v>49</v>
      </c>
      <c r="T29" s="8" t="s">
        <v>49</v>
      </c>
      <c r="U29" s="8" t="s">
        <v>49</v>
      </c>
      <c r="V29" s="8" t="s">
        <v>49</v>
      </c>
      <c r="W29" s="8" t="s">
        <v>53</v>
      </c>
      <c r="X29" s="8" t="s">
        <v>53</v>
      </c>
      <c r="Y29" s="8" t="s">
        <v>59</v>
      </c>
      <c r="Z29" s="8" t="s">
        <v>57</v>
      </c>
      <c r="AA29" s="5" t="n">
        <v>8</v>
      </c>
      <c r="AB29" s="5" t="n">
        <v>7</v>
      </c>
      <c r="AC29" s="8" t="n">
        <v>5</v>
      </c>
      <c r="AD29" s="5" t="n">
        <v>7</v>
      </c>
      <c r="AE29" s="8" t="n">
        <v>6</v>
      </c>
      <c r="AF29" s="5" t="n">
        <v>7</v>
      </c>
      <c r="AG29" s="8" t="n">
        <v>5</v>
      </c>
      <c r="AH29" s="5" t="n">
        <v>7</v>
      </c>
      <c r="AI29" s="10" t="n">
        <f aca="false">AA29*0.25+AB29*0.2+AC29*0.15+AD29*0.1+AE29*0.1+AF29*0.05+AG29*0.1+AH29*0.05</f>
        <v>6.65</v>
      </c>
    </row>
    <row r="30" customFormat="false" ht="15" hidden="false" customHeight="false" outlineLevel="0" collapsed="false">
      <c r="A30" s="4" t="s">
        <v>113</v>
      </c>
      <c r="B30" s="4" t="s">
        <v>111</v>
      </c>
      <c r="C30" s="4" t="s">
        <v>92</v>
      </c>
      <c r="D30" s="11" t="s">
        <v>96</v>
      </c>
      <c r="E30" s="4" t="s">
        <v>96</v>
      </c>
      <c r="F30" s="4" t="s">
        <v>114</v>
      </c>
      <c r="G30" s="4" t="n">
        <v>131</v>
      </c>
      <c r="H30" s="4" t="n">
        <v>16384</v>
      </c>
      <c r="I30" s="4" t="n">
        <v>0.6</v>
      </c>
      <c r="J30" s="4" t="n">
        <v>2.2</v>
      </c>
      <c r="K30" s="4"/>
      <c r="L30" s="4"/>
      <c r="M30" s="4" t="n">
        <v>88</v>
      </c>
      <c r="N30" s="4" t="n">
        <v>64</v>
      </c>
      <c r="O30" s="4" t="n">
        <v>5</v>
      </c>
      <c r="P30" s="4" t="n">
        <v>0.6</v>
      </c>
      <c r="Q30" s="4" t="n">
        <v>160</v>
      </c>
      <c r="R30" s="4" t="s">
        <v>49</v>
      </c>
      <c r="S30" s="4" t="s">
        <v>49</v>
      </c>
      <c r="T30" s="4" t="s">
        <v>49</v>
      </c>
      <c r="U30" s="4" t="s">
        <v>49</v>
      </c>
      <c r="V30" s="4" t="s">
        <v>49</v>
      </c>
      <c r="W30" s="4" t="s">
        <v>58</v>
      </c>
      <c r="X30" s="4" t="s">
        <v>53</v>
      </c>
      <c r="Y30" s="4" t="s">
        <v>59</v>
      </c>
      <c r="Z30" s="4" t="s">
        <v>57</v>
      </c>
      <c r="AA30" s="5" t="n">
        <v>7</v>
      </c>
      <c r="AB30" s="5" t="n">
        <v>8</v>
      </c>
      <c r="AC30" s="4" t="n">
        <v>5</v>
      </c>
      <c r="AD30" s="4" t="n">
        <v>6</v>
      </c>
      <c r="AE30" s="5" t="n">
        <v>7</v>
      </c>
      <c r="AF30" s="5" t="n">
        <v>7</v>
      </c>
      <c r="AG30" s="4" t="n">
        <v>5</v>
      </c>
      <c r="AH30" s="4" t="n">
        <v>6</v>
      </c>
      <c r="AI30" s="7" t="n">
        <f aca="false">AA30*0.25+AB30*0.2+AC30*0.15+AD30*0.1+AE30*0.1+AF30*0.05+AG30*0.1+AH30*0.05</f>
        <v>6.55</v>
      </c>
    </row>
    <row r="31" customFormat="false" ht="15" hidden="false" customHeight="false" outlineLevel="0" collapsed="false">
      <c r="A31" s="8" t="s">
        <v>115</v>
      </c>
      <c r="B31" s="8" t="s">
        <v>111</v>
      </c>
      <c r="C31" s="8" t="s">
        <v>92</v>
      </c>
      <c r="D31" s="11" t="s">
        <v>96</v>
      </c>
      <c r="E31" s="8" t="s">
        <v>96</v>
      </c>
      <c r="F31" s="8" t="s">
        <v>116</v>
      </c>
      <c r="G31" s="8" t="n">
        <v>131</v>
      </c>
      <c r="H31" s="8" t="n">
        <v>16384</v>
      </c>
      <c r="I31" s="8" t="n">
        <v>0.2</v>
      </c>
      <c r="J31" s="8" t="n">
        <v>1.1</v>
      </c>
      <c r="K31" s="8"/>
      <c r="L31" s="8"/>
      <c r="M31" s="8" t="n">
        <v>83</v>
      </c>
      <c r="N31" s="8" t="n">
        <v>58</v>
      </c>
      <c r="O31" s="8" t="n">
        <v>7</v>
      </c>
      <c r="P31" s="8" t="n">
        <v>0.4</v>
      </c>
      <c r="Q31" s="8" t="n">
        <v>250</v>
      </c>
      <c r="R31" s="8" t="s">
        <v>49</v>
      </c>
      <c r="S31" s="8" t="s">
        <v>49</v>
      </c>
      <c r="T31" s="8" t="s">
        <v>49</v>
      </c>
      <c r="U31" s="8" t="s">
        <v>49</v>
      </c>
      <c r="V31" s="8" t="s">
        <v>49</v>
      </c>
      <c r="W31" s="8" t="s">
        <v>58</v>
      </c>
      <c r="X31" s="8" t="s">
        <v>53</v>
      </c>
      <c r="Y31" s="8" t="s">
        <v>59</v>
      </c>
      <c r="Z31" s="8" t="s">
        <v>57</v>
      </c>
      <c r="AA31" s="8" t="n">
        <v>6</v>
      </c>
      <c r="AB31" s="6" t="n">
        <v>9</v>
      </c>
      <c r="AC31" s="9" t="n">
        <v>4</v>
      </c>
      <c r="AD31" s="8" t="n">
        <v>5</v>
      </c>
      <c r="AE31" s="6" t="n">
        <v>9</v>
      </c>
      <c r="AF31" s="5" t="n">
        <v>7</v>
      </c>
      <c r="AG31" s="8" t="n">
        <v>5</v>
      </c>
      <c r="AH31" s="8" t="n">
        <v>5</v>
      </c>
      <c r="AI31" s="10" t="n">
        <f aca="false">AA31*0.25+AB31*0.2+AC31*0.15+AD31*0.1+AE31*0.1+AF31*0.05+AG31*0.1+AH31*0.05</f>
        <v>6.4</v>
      </c>
    </row>
    <row r="32" customFormat="false" ht="15" hidden="false" customHeight="false" outlineLevel="0" collapsed="false">
      <c r="A32" s="4" t="s">
        <v>117</v>
      </c>
      <c r="B32" s="4" t="s">
        <v>118</v>
      </c>
      <c r="C32" s="4" t="s">
        <v>81</v>
      </c>
      <c r="D32" s="11" t="s">
        <v>96</v>
      </c>
      <c r="E32" s="4" t="s">
        <v>96</v>
      </c>
      <c r="F32" s="4" t="s">
        <v>119</v>
      </c>
      <c r="G32" s="4" t="n">
        <v>256</v>
      </c>
      <c r="H32" s="4" t="n">
        <v>16384</v>
      </c>
      <c r="I32" s="4" t="n">
        <v>0.6</v>
      </c>
      <c r="J32" s="4" t="n">
        <v>3</v>
      </c>
      <c r="K32" s="4"/>
      <c r="L32" s="4"/>
      <c r="M32" s="4" t="n">
        <v>90</v>
      </c>
      <c r="N32" s="4" t="n">
        <v>65</v>
      </c>
      <c r="O32" s="4" t="n">
        <v>5</v>
      </c>
      <c r="P32" s="4" t="n">
        <v>0.7</v>
      </c>
      <c r="Q32" s="4" t="n">
        <v>140</v>
      </c>
      <c r="R32" s="4" t="s">
        <v>49</v>
      </c>
      <c r="S32" s="4" t="s">
        <v>49</v>
      </c>
      <c r="T32" s="4" t="s">
        <v>49</v>
      </c>
      <c r="U32" s="4" t="s">
        <v>49</v>
      </c>
      <c r="V32" s="4" t="s">
        <v>49</v>
      </c>
      <c r="W32" s="4" t="s">
        <v>53</v>
      </c>
      <c r="X32" s="4" t="s">
        <v>53</v>
      </c>
      <c r="Y32" s="4" t="s">
        <v>59</v>
      </c>
      <c r="Z32" s="4" t="s">
        <v>57</v>
      </c>
      <c r="AA32" s="5" t="n">
        <v>8</v>
      </c>
      <c r="AB32" s="5" t="n">
        <v>7</v>
      </c>
      <c r="AC32" s="4" t="n">
        <v>5</v>
      </c>
      <c r="AD32" s="4" t="n">
        <v>6</v>
      </c>
      <c r="AE32" s="4" t="n">
        <v>6</v>
      </c>
      <c r="AF32" s="5" t="n">
        <v>7</v>
      </c>
      <c r="AG32" s="4" t="n">
        <v>5</v>
      </c>
      <c r="AH32" s="4" t="n">
        <v>6</v>
      </c>
      <c r="AI32" s="7" t="n">
        <f aca="false">AA32*0.25+AB32*0.2+AC32*0.15+AD32*0.1+AE32*0.1+AF32*0.05+AG32*0.1+AH32*0.05</f>
        <v>6.5</v>
      </c>
    </row>
    <row r="33" customFormat="false" ht="15" hidden="false" customHeight="false" outlineLevel="0" collapsed="false">
      <c r="A33" s="8" t="s">
        <v>120</v>
      </c>
      <c r="B33" s="8" t="s">
        <v>118</v>
      </c>
      <c r="C33" s="8" t="s">
        <v>92</v>
      </c>
      <c r="D33" s="11" t="s">
        <v>96</v>
      </c>
      <c r="E33" s="8" t="s">
        <v>96</v>
      </c>
      <c r="F33" s="8" t="s">
        <v>119</v>
      </c>
      <c r="G33" s="8" t="n">
        <v>131</v>
      </c>
      <c r="H33" s="8" t="n">
        <v>16384</v>
      </c>
      <c r="I33" s="8" t="n">
        <v>0.55</v>
      </c>
      <c r="J33" s="8" t="n">
        <v>2.2</v>
      </c>
      <c r="K33" s="8"/>
      <c r="L33" s="8"/>
      <c r="M33" s="8" t="n">
        <v>87</v>
      </c>
      <c r="N33" s="8" t="n">
        <v>60</v>
      </c>
      <c r="O33" s="8" t="n">
        <v>6</v>
      </c>
      <c r="P33" s="8" t="n">
        <v>0.6</v>
      </c>
      <c r="Q33" s="8" t="n">
        <v>160</v>
      </c>
      <c r="R33" s="8" t="s">
        <v>49</v>
      </c>
      <c r="S33" s="8" t="s">
        <v>49</v>
      </c>
      <c r="T33" s="8" t="s">
        <v>49</v>
      </c>
      <c r="U33" s="8" t="s">
        <v>49</v>
      </c>
      <c r="V33" s="8" t="s">
        <v>49</v>
      </c>
      <c r="W33" s="8" t="s">
        <v>53</v>
      </c>
      <c r="X33" s="8" t="s">
        <v>53</v>
      </c>
      <c r="Y33" s="8" t="s">
        <v>59</v>
      </c>
      <c r="Z33" s="8" t="s">
        <v>57</v>
      </c>
      <c r="AA33" s="5" t="n">
        <v>7</v>
      </c>
      <c r="AB33" s="5" t="n">
        <v>8</v>
      </c>
      <c r="AC33" s="8" t="n">
        <v>5</v>
      </c>
      <c r="AD33" s="8" t="n">
        <v>6</v>
      </c>
      <c r="AE33" s="5" t="n">
        <v>7</v>
      </c>
      <c r="AF33" s="8" t="n">
        <v>6</v>
      </c>
      <c r="AG33" s="8" t="n">
        <v>5</v>
      </c>
      <c r="AH33" s="8" t="n">
        <v>5</v>
      </c>
      <c r="AI33" s="10" t="n">
        <f aca="false">AA33*0.25+AB33*0.2+AC33*0.15+AD33*0.1+AE33*0.1+AF33*0.05+AG33*0.1+AH33*0.05</f>
        <v>6.45</v>
      </c>
    </row>
  </sheetData>
  <autoFilter ref="A3:AI3"/>
  <mergeCells count="9">
    <mergeCell ref="A1:AI1"/>
    <mergeCell ref="A2:F2"/>
    <mergeCell ref="G2:H2"/>
    <mergeCell ref="I2:L2"/>
    <mergeCell ref="M2:O2"/>
    <mergeCell ref="P2:Q2"/>
    <mergeCell ref="R2:X2"/>
    <mergeCell ref="Y2:Z2"/>
    <mergeCell ref="AA2:A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.51"/>
    <col collapsed="false" customWidth="true" hidden="false" outlineLevel="0" max="2" min="2" style="0" width="19.1"/>
    <col collapsed="false" customWidth="true" hidden="false" outlineLevel="0" max="3" min="3" style="0" width="14"/>
    <col collapsed="false" customWidth="true" hidden="false" outlineLevel="0" max="4" min="4" style="0" width="22.55"/>
  </cols>
  <sheetData>
    <row r="1" customFormat="false" ht="17.9" hidden="false" customHeight="false" outlineLevel="0" collapsed="false">
      <c r="A1" s="1" t="s">
        <v>121</v>
      </c>
      <c r="B1" s="1"/>
      <c r="C1" s="1"/>
      <c r="D1" s="1"/>
    </row>
    <row r="2" customFormat="false" ht="15" hidden="false" customHeight="false" outlineLevel="0" collapsed="false">
      <c r="A2" s="3" t="s">
        <v>9</v>
      </c>
      <c r="B2" s="3" t="s">
        <v>122</v>
      </c>
      <c r="C2" s="3" t="s">
        <v>123</v>
      </c>
      <c r="D2" s="3" t="s">
        <v>124</v>
      </c>
    </row>
    <row r="3" customFormat="false" ht="15" hidden="false" customHeight="false" outlineLevel="0" collapsed="false">
      <c r="A3" s="8" t="s">
        <v>44</v>
      </c>
      <c r="B3" s="8" t="s">
        <v>49</v>
      </c>
      <c r="C3" s="8" t="s">
        <v>125</v>
      </c>
      <c r="D3" s="8" t="s">
        <v>126</v>
      </c>
    </row>
    <row r="4" customFormat="false" ht="15" hidden="false" customHeight="false" outlineLevel="0" collapsed="false">
      <c r="A4" s="4" t="s">
        <v>52</v>
      </c>
      <c r="B4" s="4" t="s">
        <v>49</v>
      </c>
      <c r="C4" s="4" t="s">
        <v>125</v>
      </c>
      <c r="D4" s="4" t="s">
        <v>126</v>
      </c>
    </row>
    <row r="5" customFormat="false" ht="15" hidden="false" customHeight="false" outlineLevel="0" collapsed="false">
      <c r="A5" s="8" t="s">
        <v>54</v>
      </c>
      <c r="B5" s="8" t="s">
        <v>49</v>
      </c>
      <c r="C5" s="8" t="s">
        <v>125</v>
      </c>
      <c r="D5" s="8" t="s">
        <v>126</v>
      </c>
    </row>
    <row r="6" customFormat="false" ht="15" hidden="false" customHeight="false" outlineLevel="0" collapsed="false">
      <c r="A6" s="4" t="s">
        <v>56</v>
      </c>
      <c r="B6" s="4" t="s">
        <v>49</v>
      </c>
      <c r="C6" s="4" t="s">
        <v>125</v>
      </c>
      <c r="D6" s="4" t="s">
        <v>126</v>
      </c>
    </row>
    <row r="7" customFormat="false" ht="15" hidden="false" customHeight="false" outlineLevel="0" collapsed="false">
      <c r="A7" s="8" t="s">
        <v>60</v>
      </c>
      <c r="B7" s="8" t="s">
        <v>49</v>
      </c>
      <c r="C7" s="8" t="s">
        <v>125</v>
      </c>
      <c r="D7" s="8" t="s">
        <v>126</v>
      </c>
    </row>
    <row r="8" customFormat="false" ht="15" hidden="false" customHeight="false" outlineLevel="0" collapsed="false">
      <c r="A8" s="4" t="s">
        <v>62</v>
      </c>
      <c r="B8" s="4" t="s">
        <v>49</v>
      </c>
      <c r="C8" s="4" t="s">
        <v>127</v>
      </c>
      <c r="D8" s="4" t="s">
        <v>128</v>
      </c>
    </row>
    <row r="9" customFormat="false" ht="23.85" hidden="false" customHeight="false" outlineLevel="0" collapsed="false">
      <c r="A9" s="8" t="s">
        <v>65</v>
      </c>
      <c r="B9" s="8" t="s">
        <v>49</v>
      </c>
      <c r="C9" s="8" t="s">
        <v>127</v>
      </c>
      <c r="D9" s="8" t="s">
        <v>128</v>
      </c>
    </row>
    <row r="10" customFormat="false" ht="15" hidden="false" customHeight="false" outlineLevel="0" collapsed="false">
      <c r="A10" s="4" t="s">
        <v>66</v>
      </c>
      <c r="B10" s="4" t="s">
        <v>49</v>
      </c>
      <c r="C10" s="4" t="s">
        <v>127</v>
      </c>
      <c r="D10" s="4" t="s">
        <v>128</v>
      </c>
    </row>
    <row r="11" customFormat="false" ht="15" hidden="false" customHeight="false" outlineLevel="0" collapsed="false">
      <c r="A11" s="8" t="s">
        <v>67</v>
      </c>
      <c r="B11" s="8" t="s">
        <v>49</v>
      </c>
      <c r="C11" s="8" t="s">
        <v>129</v>
      </c>
      <c r="D11" s="8" t="s">
        <v>130</v>
      </c>
    </row>
    <row r="12" customFormat="false" ht="15" hidden="false" customHeight="false" outlineLevel="0" collapsed="false">
      <c r="A12" s="4" t="s">
        <v>71</v>
      </c>
      <c r="B12" s="4" t="s">
        <v>49</v>
      </c>
      <c r="C12" s="4" t="s">
        <v>129</v>
      </c>
      <c r="D12" s="4" t="s">
        <v>130</v>
      </c>
    </row>
    <row r="13" customFormat="false" ht="15" hidden="false" customHeight="false" outlineLevel="0" collapsed="false">
      <c r="A13" s="8" t="s">
        <v>73</v>
      </c>
      <c r="B13" s="8" t="s">
        <v>49</v>
      </c>
      <c r="C13" s="8" t="s">
        <v>129</v>
      </c>
      <c r="D13" s="8" t="s">
        <v>130</v>
      </c>
    </row>
    <row r="14" customFormat="false" ht="15" hidden="false" customHeight="false" outlineLevel="0" collapsed="false">
      <c r="A14" s="4" t="s">
        <v>74</v>
      </c>
      <c r="B14" s="4" t="s">
        <v>49</v>
      </c>
      <c r="C14" s="4" t="s">
        <v>129</v>
      </c>
      <c r="D14" s="4" t="s">
        <v>130</v>
      </c>
    </row>
    <row r="15" customFormat="false" ht="15" hidden="false" customHeight="false" outlineLevel="0" collapsed="false">
      <c r="A15" s="8" t="s">
        <v>76</v>
      </c>
      <c r="B15" s="8" t="s">
        <v>49</v>
      </c>
      <c r="C15" s="8" t="s">
        <v>131</v>
      </c>
      <c r="D15" s="8" t="s">
        <v>131</v>
      </c>
    </row>
    <row r="16" customFormat="false" ht="15" hidden="false" customHeight="false" outlineLevel="0" collapsed="false">
      <c r="A16" s="4" t="s">
        <v>78</v>
      </c>
      <c r="B16" s="4" t="s">
        <v>49</v>
      </c>
      <c r="C16" s="4" t="s">
        <v>131</v>
      </c>
      <c r="D16" s="4" t="s">
        <v>131</v>
      </c>
    </row>
    <row r="17" customFormat="false" ht="15" hidden="false" customHeight="false" outlineLevel="0" collapsed="false">
      <c r="A17" s="8" t="s">
        <v>79</v>
      </c>
      <c r="B17" s="8" t="s">
        <v>131</v>
      </c>
      <c r="C17" s="8" t="s">
        <v>131</v>
      </c>
      <c r="D17" s="8" t="s">
        <v>132</v>
      </c>
    </row>
    <row r="18" customFormat="false" ht="15" hidden="false" customHeight="false" outlineLevel="0" collapsed="false">
      <c r="A18" s="4" t="s">
        <v>86</v>
      </c>
      <c r="B18" s="4" t="s">
        <v>131</v>
      </c>
      <c r="C18" s="4" t="s">
        <v>131</v>
      </c>
      <c r="D18" s="4" t="s">
        <v>132</v>
      </c>
    </row>
    <row r="19" customFormat="false" ht="15" hidden="false" customHeight="false" outlineLevel="0" collapsed="false">
      <c r="A19" s="8" t="s">
        <v>88</v>
      </c>
      <c r="B19" s="8" t="s">
        <v>131</v>
      </c>
      <c r="C19" s="8" t="s">
        <v>131</v>
      </c>
      <c r="D19" s="8" t="s">
        <v>132</v>
      </c>
    </row>
    <row r="20" customFormat="false" ht="15" hidden="false" customHeight="false" outlineLevel="0" collapsed="false">
      <c r="A20" s="4" t="s">
        <v>91</v>
      </c>
      <c r="B20" s="4" t="s">
        <v>131</v>
      </c>
      <c r="C20" s="4" t="s">
        <v>131</v>
      </c>
      <c r="D20" s="4" t="s">
        <v>132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.51"/>
    <col collapsed="false" customWidth="true" hidden="false" outlineLevel="0" max="2" min="2" style="0" width="16.8"/>
    <col collapsed="false" customWidth="true" hidden="false" outlineLevel="0" max="3" min="3" style="0" width="26"/>
    <col collapsed="false" customWidth="true" hidden="false" outlineLevel="0" max="4" min="4" style="0" width="23.7"/>
    <col collapsed="false" customWidth="true" hidden="false" outlineLevel="0" max="6" min="5" style="0" width="26"/>
  </cols>
  <sheetData>
    <row r="1" customFormat="false" ht="17.9" hidden="false" customHeight="false" outlineLevel="0" collapsed="false">
      <c r="A1" s="1" t="s">
        <v>133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3" t="s">
        <v>9</v>
      </c>
      <c r="B2" s="3" t="s">
        <v>134</v>
      </c>
      <c r="C2" s="3" t="s">
        <v>135</v>
      </c>
      <c r="D2" s="3" t="s">
        <v>136</v>
      </c>
      <c r="E2" s="3" t="s">
        <v>137</v>
      </c>
      <c r="F2" s="3" t="s">
        <v>138</v>
      </c>
    </row>
    <row r="3" customFormat="false" ht="15" hidden="false" customHeight="false" outlineLevel="0" collapsed="false">
      <c r="A3" s="8" t="s">
        <v>94</v>
      </c>
      <c r="B3" s="8" t="s">
        <v>139</v>
      </c>
      <c r="C3" s="8" t="s">
        <v>140</v>
      </c>
      <c r="D3" s="8" t="s">
        <v>141</v>
      </c>
      <c r="E3" s="12" t="n">
        <v>12000</v>
      </c>
      <c r="F3" s="12" t="n">
        <v>16200000</v>
      </c>
    </row>
    <row r="4" customFormat="false" ht="15" hidden="false" customHeight="false" outlineLevel="0" collapsed="false">
      <c r="A4" s="4" t="s">
        <v>98</v>
      </c>
      <c r="B4" s="4" t="s">
        <v>139</v>
      </c>
      <c r="C4" s="4" t="s">
        <v>142</v>
      </c>
      <c r="D4" s="4" t="s">
        <v>143</v>
      </c>
      <c r="E4" s="13" t="n">
        <v>1500</v>
      </c>
      <c r="F4" s="13" t="n">
        <v>2025000</v>
      </c>
    </row>
    <row r="5" customFormat="false" ht="15" hidden="false" customHeight="false" outlineLevel="0" collapsed="false">
      <c r="A5" s="8" t="s">
        <v>100</v>
      </c>
      <c r="B5" s="8" t="s">
        <v>139</v>
      </c>
      <c r="C5" s="8" t="s">
        <v>142</v>
      </c>
      <c r="D5" s="8" t="s">
        <v>143</v>
      </c>
      <c r="E5" s="12" t="n">
        <v>1500</v>
      </c>
      <c r="F5" s="12" t="n">
        <v>2025000</v>
      </c>
    </row>
    <row r="6" customFormat="false" ht="15" hidden="false" customHeight="false" outlineLevel="0" collapsed="false">
      <c r="A6" s="4" t="s">
        <v>102</v>
      </c>
      <c r="B6" s="4" t="s">
        <v>139</v>
      </c>
      <c r="C6" s="4" t="s">
        <v>140</v>
      </c>
      <c r="D6" s="4" t="s">
        <v>141</v>
      </c>
      <c r="E6" s="13" t="n">
        <v>12000</v>
      </c>
      <c r="F6" s="13" t="n">
        <v>16200000</v>
      </c>
    </row>
    <row r="7" customFormat="false" ht="15" hidden="false" customHeight="false" outlineLevel="0" collapsed="false">
      <c r="A7" s="8" t="s">
        <v>103</v>
      </c>
      <c r="B7" s="8" t="s">
        <v>139</v>
      </c>
      <c r="C7" s="8" t="s">
        <v>142</v>
      </c>
      <c r="D7" s="8" t="s">
        <v>143</v>
      </c>
      <c r="E7" s="12" t="n">
        <v>1500</v>
      </c>
      <c r="F7" s="12" t="n">
        <v>2025000</v>
      </c>
    </row>
    <row r="8" customFormat="false" ht="15" hidden="false" customHeight="false" outlineLevel="0" collapsed="false">
      <c r="A8" s="4" t="s">
        <v>105</v>
      </c>
      <c r="B8" s="4" t="s">
        <v>144</v>
      </c>
      <c r="C8" s="4" t="s">
        <v>140</v>
      </c>
      <c r="D8" s="4" t="s">
        <v>141</v>
      </c>
      <c r="E8" s="13" t="n">
        <v>12000</v>
      </c>
      <c r="F8" s="13" t="n">
        <v>16200000</v>
      </c>
    </row>
    <row r="9" customFormat="false" ht="15" hidden="false" customHeight="false" outlineLevel="0" collapsed="false">
      <c r="A9" s="8" t="s">
        <v>108</v>
      </c>
      <c r="B9" s="8" t="s">
        <v>144</v>
      </c>
      <c r="C9" s="8" t="s">
        <v>140</v>
      </c>
      <c r="D9" s="8" t="s">
        <v>141</v>
      </c>
      <c r="E9" s="12" t="n">
        <v>12000</v>
      </c>
      <c r="F9" s="12" t="n">
        <v>16200000</v>
      </c>
    </row>
    <row r="10" customFormat="false" ht="15" hidden="false" customHeight="false" outlineLevel="0" collapsed="false">
      <c r="A10" s="4" t="s">
        <v>110</v>
      </c>
      <c r="B10" s="4" t="s">
        <v>145</v>
      </c>
      <c r="C10" s="4" t="s">
        <v>140</v>
      </c>
      <c r="D10" s="4" t="s">
        <v>141</v>
      </c>
      <c r="E10" s="13" t="n">
        <v>12000</v>
      </c>
      <c r="F10" s="13" t="n">
        <v>16200000</v>
      </c>
    </row>
    <row r="11" customFormat="false" ht="15" hidden="false" customHeight="false" outlineLevel="0" collapsed="false">
      <c r="A11" s="8" t="s">
        <v>113</v>
      </c>
      <c r="B11" s="8" t="s">
        <v>145</v>
      </c>
      <c r="C11" s="8" t="s">
        <v>140</v>
      </c>
      <c r="D11" s="8" t="s">
        <v>141</v>
      </c>
      <c r="E11" s="12" t="n">
        <v>12000</v>
      </c>
      <c r="F11" s="12" t="n">
        <v>16200000</v>
      </c>
    </row>
    <row r="12" customFormat="false" ht="15" hidden="false" customHeight="false" outlineLevel="0" collapsed="false">
      <c r="A12" s="4" t="s">
        <v>115</v>
      </c>
      <c r="B12" s="4" t="s">
        <v>145</v>
      </c>
      <c r="C12" s="4" t="s">
        <v>146</v>
      </c>
      <c r="D12" s="4" t="s">
        <v>147</v>
      </c>
      <c r="E12" s="13" t="n">
        <v>3000</v>
      </c>
      <c r="F12" s="13" t="n">
        <v>4050000</v>
      </c>
    </row>
    <row r="13" customFormat="false" ht="15" hidden="false" customHeight="false" outlineLevel="0" collapsed="false">
      <c r="A13" s="8" t="s">
        <v>117</v>
      </c>
      <c r="B13" s="8" t="s">
        <v>145</v>
      </c>
      <c r="C13" s="8" t="s">
        <v>140</v>
      </c>
      <c r="D13" s="8" t="s">
        <v>148</v>
      </c>
      <c r="E13" s="12" t="n">
        <v>16000</v>
      </c>
      <c r="F13" s="12" t="n">
        <v>21600000</v>
      </c>
    </row>
    <row r="14" customFormat="false" ht="15" hidden="false" customHeight="false" outlineLevel="0" collapsed="false">
      <c r="A14" s="4" t="s">
        <v>120</v>
      </c>
      <c r="B14" s="4" t="s">
        <v>145</v>
      </c>
      <c r="C14" s="4" t="s">
        <v>140</v>
      </c>
      <c r="D14" s="4" t="s">
        <v>141</v>
      </c>
      <c r="E14" s="13" t="n">
        <v>12000</v>
      </c>
      <c r="F14" s="13" t="n">
        <v>16200000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4.51"/>
    <col collapsed="false" customWidth="true" hidden="false" outlineLevel="0" max="3" min="3" style="0" width="14"/>
    <col collapsed="false" customWidth="true" hidden="false" outlineLevel="0" max="4" min="4" style="0" width="14.51"/>
    <col collapsed="false" customWidth="true" hidden="false" outlineLevel="0" max="5" min="5" style="0" width="23.7"/>
    <col collapsed="false" customWidth="true" hidden="false" outlineLevel="0" max="6" min="6" style="0" width="24.85"/>
    <col collapsed="false" customWidth="true" hidden="false" outlineLevel="0" max="8" min="7" style="0" width="26"/>
    <col collapsed="false" customWidth="true" hidden="false" outlineLevel="0" max="9" min="9" style="0" width="23.7"/>
    <col collapsed="false" customWidth="true" hidden="false" outlineLevel="0" max="10" min="10" style="0" width="26"/>
  </cols>
  <sheetData>
    <row r="1" customFormat="false" ht="17.9" hidden="false" customHeight="false" outlineLevel="0" collapsed="false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3" t="s">
        <v>150</v>
      </c>
      <c r="B2" s="3" t="s">
        <v>9</v>
      </c>
      <c r="C2" s="3" t="s">
        <v>10</v>
      </c>
      <c r="D2" s="3" t="s">
        <v>12</v>
      </c>
      <c r="E2" s="3" t="s">
        <v>17</v>
      </c>
      <c r="F2" s="3" t="s">
        <v>18</v>
      </c>
      <c r="G2" s="3" t="s">
        <v>151</v>
      </c>
      <c r="H2" s="3" t="s">
        <v>152</v>
      </c>
      <c r="I2" s="3" t="s">
        <v>43</v>
      </c>
      <c r="J2" s="3" t="s">
        <v>153</v>
      </c>
    </row>
    <row r="3" customFormat="false" ht="15" hidden="false" customHeight="false" outlineLevel="0" collapsed="false">
      <c r="A3" s="8" t="n">
        <v>1</v>
      </c>
      <c r="B3" s="8" t="s">
        <v>100</v>
      </c>
      <c r="C3" s="8" t="s">
        <v>95</v>
      </c>
      <c r="D3" s="8" t="s">
        <v>96</v>
      </c>
      <c r="E3" s="8" t="n">
        <v>0.08</v>
      </c>
      <c r="F3" s="8" t="n">
        <v>0.24</v>
      </c>
      <c r="G3" s="14" t="n">
        <f aca="false">E3*50+F3*30</f>
        <v>11.2</v>
      </c>
      <c r="H3" s="12" t="n">
        <f aca="false">G3*1350</f>
        <v>15120</v>
      </c>
      <c r="I3" s="10" t="n">
        <v>6.45</v>
      </c>
      <c r="J3" s="8" t="str">
        <f aca="false">IF(AND(I3&gt;=7.5,G3&lt;100),"S",IF(AND(I3&gt;=7.5,G3&lt;500),"A",IF(AND(I3&gt;=7,G3&lt;1000),"B",IF(I3&gt;=6.5,"C","D"))))</f>
        <v>D</v>
      </c>
    </row>
    <row r="4" customFormat="false" ht="15" hidden="false" customHeight="false" outlineLevel="0" collapsed="false">
      <c r="A4" s="4" t="n">
        <v>2</v>
      </c>
      <c r="B4" s="4" t="s">
        <v>103</v>
      </c>
      <c r="C4" s="4" t="s">
        <v>95</v>
      </c>
      <c r="D4" s="4" t="s">
        <v>96</v>
      </c>
      <c r="E4" s="4" t="n">
        <v>0.1</v>
      </c>
      <c r="F4" s="4" t="n">
        <v>0.3</v>
      </c>
      <c r="G4" s="15" t="n">
        <f aca="false">E4*50+F4*30</f>
        <v>14</v>
      </c>
      <c r="H4" s="13" t="n">
        <f aca="false">G4*1350</f>
        <v>18900</v>
      </c>
      <c r="I4" s="7" t="n">
        <v>6.35</v>
      </c>
      <c r="J4" s="4" t="str">
        <f aca="false">IF(AND(I4&gt;=7.5,G4&lt;100),"S",IF(AND(I4&gt;=7.5,G4&lt;500),"A",IF(AND(I4&gt;=7,G4&lt;1000),"B",IF(I4&gt;=6.5,"C","D"))))</f>
        <v>D</v>
      </c>
    </row>
    <row r="5" customFormat="false" ht="15" hidden="false" customHeight="false" outlineLevel="0" collapsed="false">
      <c r="A5" s="8" t="n">
        <v>3</v>
      </c>
      <c r="B5" s="8" t="s">
        <v>56</v>
      </c>
      <c r="C5" s="8" t="s">
        <v>45</v>
      </c>
      <c r="D5" s="8" t="s">
        <v>47</v>
      </c>
      <c r="E5" s="8" t="n">
        <v>0.05</v>
      </c>
      <c r="F5" s="8" t="n">
        <v>0.4</v>
      </c>
      <c r="G5" s="14" t="n">
        <f aca="false">E5*50+F5*30</f>
        <v>14.5</v>
      </c>
      <c r="H5" s="12" t="n">
        <f aca="false">G5*1350</f>
        <v>19575</v>
      </c>
      <c r="I5" s="10" t="n">
        <v>7</v>
      </c>
      <c r="J5" s="8" t="str">
        <f aca="false">IF(AND(I5&gt;=7.5,G5&lt;100),"S",IF(AND(I5&gt;=7.5,G5&lt;500),"A",IF(AND(I5&gt;=7,G5&lt;1000),"B",IF(I5&gt;=6.5,"C","D"))))</f>
        <v>B</v>
      </c>
    </row>
    <row r="6" customFormat="false" ht="15" hidden="false" customHeight="false" outlineLevel="0" collapsed="false">
      <c r="A6" s="4" t="n">
        <v>4</v>
      </c>
      <c r="B6" s="4" t="s">
        <v>74</v>
      </c>
      <c r="C6" s="4" t="s">
        <v>68</v>
      </c>
      <c r="D6" s="4" t="s">
        <v>47</v>
      </c>
      <c r="E6" s="4" t="n">
        <v>0.1</v>
      </c>
      <c r="F6" s="4" t="n">
        <v>0.4</v>
      </c>
      <c r="G6" s="15" t="n">
        <f aca="false">E6*50+F6*30</f>
        <v>17</v>
      </c>
      <c r="H6" s="13" t="n">
        <f aca="false">G6*1350</f>
        <v>22950</v>
      </c>
      <c r="I6" s="7" t="n">
        <v>7.85</v>
      </c>
      <c r="J6" s="4" t="str">
        <f aca="false">IF(AND(I6&gt;=7.5,G6&lt;100),"S",IF(AND(I6&gt;=7.5,G6&lt;500),"A",IF(AND(I6&gt;=7,G6&lt;1000),"B",IF(I6&gt;=6.5,"C","D"))))</f>
        <v>S</v>
      </c>
    </row>
    <row r="7" customFormat="false" ht="15" hidden="false" customHeight="false" outlineLevel="0" collapsed="false">
      <c r="A7" s="8" t="n">
        <v>5</v>
      </c>
      <c r="B7" s="8" t="s">
        <v>98</v>
      </c>
      <c r="C7" s="8" t="s">
        <v>95</v>
      </c>
      <c r="D7" s="8" t="s">
        <v>96</v>
      </c>
      <c r="E7" s="8" t="n">
        <v>0.1</v>
      </c>
      <c r="F7" s="8" t="n">
        <v>0.4</v>
      </c>
      <c r="G7" s="14" t="n">
        <f aca="false">E7*50+F7*30</f>
        <v>17</v>
      </c>
      <c r="H7" s="12" t="n">
        <f aca="false">G7*1350</f>
        <v>22950</v>
      </c>
      <c r="I7" s="10" t="n">
        <v>6.75</v>
      </c>
      <c r="J7" s="8" t="str">
        <f aca="false">IF(AND(I7&gt;=7.5,G7&lt;100),"S",IF(AND(I7&gt;=7.5,G7&lt;500),"A",IF(AND(I7&gt;=7,G7&lt;1000),"B",IF(I7&gt;=6.5,"C","D"))))</f>
        <v>C</v>
      </c>
    </row>
    <row r="8" customFormat="false" ht="15" hidden="false" customHeight="false" outlineLevel="0" collapsed="false">
      <c r="A8" s="4" t="n">
        <v>6</v>
      </c>
      <c r="B8" s="4" t="s">
        <v>78</v>
      </c>
      <c r="C8" s="4" t="s">
        <v>77</v>
      </c>
      <c r="D8" s="4" t="s">
        <v>47</v>
      </c>
      <c r="E8" s="4" t="n">
        <v>0.2</v>
      </c>
      <c r="F8" s="4" t="n">
        <v>0.5</v>
      </c>
      <c r="G8" s="15" t="n">
        <f aca="false">E8*50+F8*30</f>
        <v>25</v>
      </c>
      <c r="H8" s="13" t="n">
        <f aca="false">G8*1350</f>
        <v>33750</v>
      </c>
      <c r="I8" s="7" t="n">
        <v>7.65</v>
      </c>
      <c r="J8" s="4" t="str">
        <f aca="false">IF(AND(I8&gt;=7.5,G8&lt;100),"S",IF(AND(I8&gt;=7.5,G8&lt;500),"A",IF(AND(I8&gt;=7,G8&lt;1000),"B",IF(I8&gt;=6.5,"C","D"))))</f>
        <v>S</v>
      </c>
    </row>
    <row r="9" customFormat="false" ht="15" hidden="false" customHeight="false" outlineLevel="0" collapsed="false">
      <c r="A9" s="8" t="n">
        <v>7</v>
      </c>
      <c r="B9" s="8" t="s">
        <v>73</v>
      </c>
      <c r="C9" s="8" t="s">
        <v>68</v>
      </c>
      <c r="D9" s="8" t="s">
        <v>47</v>
      </c>
      <c r="E9" s="8" t="n">
        <v>0.15</v>
      </c>
      <c r="F9" s="8" t="n">
        <v>0.6</v>
      </c>
      <c r="G9" s="14" t="n">
        <f aca="false">E9*50+F9*30</f>
        <v>25.5</v>
      </c>
      <c r="H9" s="12" t="n">
        <f aca="false">G9*1350</f>
        <v>34425</v>
      </c>
      <c r="I9" s="10" t="n">
        <v>7.85</v>
      </c>
      <c r="J9" s="8" t="str">
        <f aca="false">IF(AND(I9&gt;=7.5,G9&lt;100),"S",IF(AND(I9&gt;=7.5,G9&lt;500),"A",IF(AND(I9&gt;=7,G9&lt;1000),"B",IF(I9&gt;=6.5,"C","D"))))</f>
        <v>S</v>
      </c>
    </row>
    <row r="10" customFormat="false" ht="15" hidden="false" customHeight="false" outlineLevel="0" collapsed="false">
      <c r="A10" s="4" t="n">
        <v>8</v>
      </c>
      <c r="B10" s="4" t="s">
        <v>79</v>
      </c>
      <c r="C10" s="4" t="s">
        <v>80</v>
      </c>
      <c r="D10" s="4" t="s">
        <v>47</v>
      </c>
      <c r="E10" s="4" t="n">
        <v>0.15</v>
      </c>
      <c r="F10" s="4" t="n">
        <v>0.6</v>
      </c>
      <c r="G10" s="15" t="n">
        <f aca="false">E10*50+F10*30</f>
        <v>25.5</v>
      </c>
      <c r="H10" s="13" t="n">
        <f aca="false">G10*1350</f>
        <v>34425</v>
      </c>
      <c r="I10" s="7" t="n">
        <v>7.55</v>
      </c>
      <c r="J10" s="4" t="str">
        <f aca="false">IF(AND(I10&gt;=7.5,G10&lt;100),"S",IF(AND(I10&gt;=7.5,G10&lt;500),"A",IF(AND(I10&gt;=7,G10&lt;1000),"B",IF(I10&gt;=6.5,"C","D"))))</f>
        <v>S</v>
      </c>
    </row>
    <row r="11" customFormat="false" ht="15" hidden="false" customHeight="false" outlineLevel="0" collapsed="false">
      <c r="A11" s="8" t="n">
        <v>9</v>
      </c>
      <c r="B11" s="8" t="s">
        <v>105</v>
      </c>
      <c r="C11" s="8" t="s">
        <v>106</v>
      </c>
      <c r="D11" s="8" t="s">
        <v>96</v>
      </c>
      <c r="E11" s="8" t="n">
        <v>0.28</v>
      </c>
      <c r="F11" s="8" t="n">
        <v>0.42</v>
      </c>
      <c r="G11" s="14" t="n">
        <f aca="false">E11*50+F11*30</f>
        <v>26.6</v>
      </c>
      <c r="H11" s="12" t="n">
        <f aca="false">G11*1350</f>
        <v>35910</v>
      </c>
      <c r="I11" s="10" t="n">
        <v>7.1</v>
      </c>
      <c r="J11" s="8" t="str">
        <f aca="false">IF(AND(I11&gt;=7.5,G11&lt;100),"S",IF(AND(I11&gt;=7.5,G11&lt;500),"A",IF(AND(I11&gt;=7,G11&lt;1000),"B",IF(I11&gt;=6.5,"C","D"))))</f>
        <v>B</v>
      </c>
    </row>
    <row r="12" customFormat="false" ht="15" hidden="false" customHeight="false" outlineLevel="0" collapsed="false">
      <c r="A12" s="4" t="n">
        <v>10</v>
      </c>
      <c r="B12" s="4" t="s">
        <v>115</v>
      </c>
      <c r="C12" s="4" t="s">
        <v>111</v>
      </c>
      <c r="D12" s="4" t="s">
        <v>96</v>
      </c>
      <c r="E12" s="4" t="n">
        <v>0.2</v>
      </c>
      <c r="F12" s="4" t="n">
        <v>1.1</v>
      </c>
      <c r="G12" s="15" t="n">
        <f aca="false">E12*50+F12*30</f>
        <v>43</v>
      </c>
      <c r="H12" s="13" t="n">
        <f aca="false">G12*1350</f>
        <v>58050</v>
      </c>
      <c r="I12" s="7" t="n">
        <v>6.4</v>
      </c>
      <c r="J12" s="4" t="str">
        <f aca="false">IF(AND(I12&gt;=7.5,G12&lt;100),"S",IF(AND(I12&gt;=7.5,G12&lt;500),"A",IF(AND(I12&gt;=7,G12&lt;1000),"B",IF(I12&gt;=6.5,"C","D"))))</f>
        <v>D</v>
      </c>
    </row>
    <row r="13" customFormat="false" ht="15" hidden="false" customHeight="false" outlineLevel="0" collapsed="false">
      <c r="A13" s="8" t="n">
        <v>11</v>
      </c>
      <c r="B13" s="8" t="s">
        <v>91</v>
      </c>
      <c r="C13" s="8" t="s">
        <v>89</v>
      </c>
      <c r="D13" s="8" t="s">
        <v>47</v>
      </c>
      <c r="E13" s="8" t="n">
        <v>0.6</v>
      </c>
      <c r="F13" s="8" t="n">
        <v>1</v>
      </c>
      <c r="G13" s="14" t="n">
        <f aca="false">E13*50+F13*30</f>
        <v>60</v>
      </c>
      <c r="H13" s="12" t="n">
        <f aca="false">G13*1350</f>
        <v>81000</v>
      </c>
      <c r="I13" s="10" t="n">
        <v>7.6</v>
      </c>
      <c r="J13" s="8" t="str">
        <f aca="false">IF(AND(I13&gt;=7.5,G13&lt;100),"S",IF(AND(I13&gt;=7.5,G13&lt;500),"A",IF(AND(I13&gt;=7,G13&lt;1000),"B",IF(I13&gt;=6.5,"C","D"))))</f>
        <v>S</v>
      </c>
    </row>
    <row r="14" customFormat="false" ht="15" hidden="false" customHeight="false" outlineLevel="0" collapsed="false">
      <c r="A14" s="4" t="n">
        <v>12</v>
      </c>
      <c r="B14" s="4" t="s">
        <v>54</v>
      </c>
      <c r="C14" s="4" t="s">
        <v>45</v>
      </c>
      <c r="D14" s="4" t="s">
        <v>47</v>
      </c>
      <c r="E14" s="4" t="n">
        <v>0.25</v>
      </c>
      <c r="F14" s="4" t="n">
        <v>2</v>
      </c>
      <c r="G14" s="15" t="n">
        <f aca="false">E14*50+F14*30</f>
        <v>72.5</v>
      </c>
      <c r="H14" s="13" t="n">
        <f aca="false">G14*1350</f>
        <v>97875</v>
      </c>
      <c r="I14" s="7" t="n">
        <v>7.75</v>
      </c>
      <c r="J14" s="4" t="str">
        <f aca="false">IF(AND(I14&gt;=7.5,G14&lt;100),"S",IF(AND(I14&gt;=7.5,G14&lt;500),"A",IF(AND(I14&gt;=7,G14&lt;1000),"B",IF(I14&gt;=6.5,"C","D"))))</f>
        <v>S</v>
      </c>
    </row>
    <row r="15" customFormat="false" ht="15" hidden="false" customHeight="false" outlineLevel="0" collapsed="false">
      <c r="A15" s="8" t="n">
        <v>13</v>
      </c>
      <c r="B15" s="8" t="s">
        <v>94</v>
      </c>
      <c r="C15" s="8" t="s">
        <v>95</v>
      </c>
      <c r="D15" s="8" t="s">
        <v>96</v>
      </c>
      <c r="E15" s="8" t="n">
        <v>0.39</v>
      </c>
      <c r="F15" s="8" t="n">
        <v>2.34</v>
      </c>
      <c r="G15" s="14" t="n">
        <f aca="false">E15*50+F15*30</f>
        <v>89.7</v>
      </c>
      <c r="H15" s="12" t="n">
        <f aca="false">G15*1350</f>
        <v>121095</v>
      </c>
      <c r="I15" s="10" t="n">
        <v>7.25</v>
      </c>
      <c r="J15" s="8" t="str">
        <f aca="false">IF(AND(I15&gt;=7.5,G15&lt;100),"S",IF(AND(I15&gt;=7.5,G15&lt;500),"A",IF(AND(I15&gt;=7,G15&lt;1000),"B",IF(I15&gt;=6.5,"C","D"))))</f>
        <v>B</v>
      </c>
    </row>
    <row r="16" customFormat="false" ht="15" hidden="false" customHeight="false" outlineLevel="0" collapsed="false">
      <c r="A16" s="4" t="n">
        <v>14</v>
      </c>
      <c r="B16" s="4" t="s">
        <v>108</v>
      </c>
      <c r="C16" s="4" t="s">
        <v>106</v>
      </c>
      <c r="D16" s="4" t="s">
        <v>96</v>
      </c>
      <c r="E16" s="4" t="n">
        <v>0.55</v>
      </c>
      <c r="F16" s="4" t="n">
        <v>2.19</v>
      </c>
      <c r="G16" s="15" t="n">
        <f aca="false">E16*50+F16*30</f>
        <v>93.2</v>
      </c>
      <c r="H16" s="13" t="n">
        <f aca="false">G16*1350</f>
        <v>125820</v>
      </c>
      <c r="I16" s="7" t="n">
        <v>6.7</v>
      </c>
      <c r="J16" s="4" t="str">
        <f aca="false">IF(AND(I16&gt;=7.5,G16&lt;100),"S",IF(AND(I16&gt;=7.5,G16&lt;500),"A",IF(AND(I16&gt;=7,G16&lt;1000),"B",IF(I16&gt;=6.5,"C","D"))))</f>
        <v>C</v>
      </c>
    </row>
    <row r="17" customFormat="false" ht="15" hidden="false" customHeight="false" outlineLevel="0" collapsed="false">
      <c r="A17" s="8" t="n">
        <v>15</v>
      </c>
      <c r="B17" s="8" t="s">
        <v>120</v>
      </c>
      <c r="C17" s="8" t="s">
        <v>118</v>
      </c>
      <c r="D17" s="8" t="s">
        <v>96</v>
      </c>
      <c r="E17" s="8" t="n">
        <v>0.55</v>
      </c>
      <c r="F17" s="8" t="n">
        <v>2.2</v>
      </c>
      <c r="G17" s="14" t="n">
        <f aca="false">E17*50+F17*30</f>
        <v>93.5</v>
      </c>
      <c r="H17" s="12" t="n">
        <f aca="false">G17*1350</f>
        <v>126225</v>
      </c>
      <c r="I17" s="10" t="n">
        <v>6.45</v>
      </c>
      <c r="J17" s="8" t="str">
        <f aca="false">IF(AND(I17&gt;=7.5,G17&lt;100),"S",IF(AND(I17&gt;=7.5,G17&lt;500),"A",IF(AND(I17&gt;=7,G17&lt;1000),"B",IF(I17&gt;=6.5,"C","D"))))</f>
        <v>D</v>
      </c>
    </row>
    <row r="18" customFormat="false" ht="15" hidden="false" customHeight="false" outlineLevel="0" collapsed="false">
      <c r="A18" s="4" t="n">
        <v>16</v>
      </c>
      <c r="B18" s="4" t="s">
        <v>113</v>
      </c>
      <c r="C18" s="4" t="s">
        <v>111</v>
      </c>
      <c r="D18" s="4" t="s">
        <v>96</v>
      </c>
      <c r="E18" s="4" t="n">
        <v>0.6</v>
      </c>
      <c r="F18" s="4" t="n">
        <v>2.2</v>
      </c>
      <c r="G18" s="15" t="n">
        <f aca="false">E18*50+F18*30</f>
        <v>96</v>
      </c>
      <c r="H18" s="13" t="n">
        <f aca="false">G18*1350</f>
        <v>129600</v>
      </c>
      <c r="I18" s="7" t="n">
        <v>6.55</v>
      </c>
      <c r="J18" s="4" t="str">
        <f aca="false">IF(AND(I18&gt;=7.5,G18&lt;100),"S",IF(AND(I18&gt;=7.5,G18&lt;500),"A",IF(AND(I18&gt;=7,G18&lt;1000),"B",IF(I18&gt;=6.5,"C","D"))))</f>
        <v>C</v>
      </c>
    </row>
    <row r="19" customFormat="false" ht="15" hidden="false" customHeight="false" outlineLevel="0" collapsed="false">
      <c r="A19" s="8" t="n">
        <v>17</v>
      </c>
      <c r="B19" s="8" t="s">
        <v>117</v>
      </c>
      <c r="C19" s="8" t="s">
        <v>118</v>
      </c>
      <c r="D19" s="8" t="s">
        <v>96</v>
      </c>
      <c r="E19" s="8" t="n">
        <v>0.6</v>
      </c>
      <c r="F19" s="8" t="n">
        <v>3</v>
      </c>
      <c r="G19" s="14" t="n">
        <f aca="false">E19*50+F19*30</f>
        <v>120</v>
      </c>
      <c r="H19" s="12" t="n">
        <f aca="false">G19*1350</f>
        <v>162000</v>
      </c>
      <c r="I19" s="10" t="n">
        <v>6.5</v>
      </c>
      <c r="J19" s="8" t="str">
        <f aca="false">IF(AND(I19&gt;=7.5,G19&lt;100),"S",IF(AND(I19&gt;=7.5,G19&lt;500),"A",IF(AND(I19&gt;=7,G19&lt;1000),"B",IF(I19&gt;=6.5,"C","D"))))</f>
        <v>C</v>
      </c>
    </row>
    <row r="20" customFormat="false" ht="15" hidden="false" customHeight="false" outlineLevel="0" collapsed="false">
      <c r="A20" s="4" t="n">
        <v>18</v>
      </c>
      <c r="B20" s="4" t="s">
        <v>86</v>
      </c>
      <c r="C20" s="4" t="s">
        <v>80</v>
      </c>
      <c r="D20" s="4" t="s">
        <v>47</v>
      </c>
      <c r="E20" s="4" t="n">
        <v>1</v>
      </c>
      <c r="F20" s="4" t="n">
        <v>3</v>
      </c>
      <c r="G20" s="15" t="n">
        <f aca="false">E20*50+F20*30</f>
        <v>140</v>
      </c>
      <c r="H20" s="13" t="n">
        <f aca="false">G20*1350</f>
        <v>189000</v>
      </c>
      <c r="I20" s="7" t="n">
        <v>7.05</v>
      </c>
      <c r="J20" s="4" t="str">
        <f aca="false">IF(AND(I20&gt;=7.5,G20&lt;100),"S",IF(AND(I20&gt;=7.5,G20&lt;500),"A",IF(AND(I20&gt;=7,G20&lt;1000),"B",IF(I20&gt;=6.5,"C","D"))))</f>
        <v>B</v>
      </c>
    </row>
    <row r="21" customFormat="false" ht="15" hidden="false" customHeight="false" outlineLevel="0" collapsed="false">
      <c r="A21" s="8" t="n">
        <v>19</v>
      </c>
      <c r="B21" s="8" t="s">
        <v>110</v>
      </c>
      <c r="C21" s="8" t="s">
        <v>111</v>
      </c>
      <c r="D21" s="8" t="s">
        <v>96</v>
      </c>
      <c r="E21" s="8" t="n">
        <v>1</v>
      </c>
      <c r="F21" s="8" t="n">
        <v>3.2</v>
      </c>
      <c r="G21" s="14" t="n">
        <f aca="false">E21*50+F21*30</f>
        <v>146</v>
      </c>
      <c r="H21" s="12" t="n">
        <f aca="false">G21*1350</f>
        <v>197100</v>
      </c>
      <c r="I21" s="10" t="n">
        <v>6.65</v>
      </c>
      <c r="J21" s="8" t="str">
        <f aca="false">IF(AND(I21&gt;=7.5,G21&lt;100),"S",IF(AND(I21&gt;=7.5,G21&lt;500),"A",IF(AND(I21&gt;=7,G21&lt;1000),"B",IF(I21&gt;=6.5,"C","D"))))</f>
        <v>C</v>
      </c>
    </row>
    <row r="22" customFormat="false" ht="15" hidden="false" customHeight="false" outlineLevel="0" collapsed="false">
      <c r="A22" s="4" t="n">
        <v>20</v>
      </c>
      <c r="B22" s="4" t="s">
        <v>66</v>
      </c>
      <c r="C22" s="4" t="s">
        <v>63</v>
      </c>
      <c r="D22" s="4" t="s">
        <v>47</v>
      </c>
      <c r="E22" s="4" t="n">
        <v>1</v>
      </c>
      <c r="F22" s="4" t="n">
        <v>5</v>
      </c>
      <c r="G22" s="15" t="n">
        <f aca="false">E22*50+F22*30</f>
        <v>200</v>
      </c>
      <c r="H22" s="13" t="n">
        <f aca="false">G22*1350</f>
        <v>270000</v>
      </c>
      <c r="I22" s="7" t="n">
        <v>7.05</v>
      </c>
      <c r="J22" s="4" t="str">
        <f aca="false">IF(AND(I22&gt;=7.5,G22&lt;100),"S",IF(AND(I22&gt;=7.5,G22&lt;500),"A",IF(AND(I22&gt;=7,G22&lt;1000),"B",IF(I22&gt;=6.5,"C","D"))))</f>
        <v>B</v>
      </c>
    </row>
    <row r="23" customFormat="false" ht="15" hidden="false" customHeight="false" outlineLevel="0" collapsed="false">
      <c r="A23" s="8" t="n">
        <v>21</v>
      </c>
      <c r="B23" s="8" t="s">
        <v>102</v>
      </c>
      <c r="C23" s="8" t="s">
        <v>95</v>
      </c>
      <c r="D23" s="8" t="s">
        <v>96</v>
      </c>
      <c r="E23" s="8" t="n">
        <v>1.2</v>
      </c>
      <c r="F23" s="8" t="n">
        <v>6</v>
      </c>
      <c r="G23" s="14" t="n">
        <f aca="false">E23*50+F23*30</f>
        <v>240</v>
      </c>
      <c r="H23" s="12" t="n">
        <f aca="false">G23*1350</f>
        <v>324000</v>
      </c>
      <c r="I23" s="10" t="n">
        <v>6.75</v>
      </c>
      <c r="J23" s="8" t="str">
        <f aca="false">IF(AND(I23&gt;=7.5,G23&lt;100),"S",IF(AND(I23&gt;=7.5,G23&lt;500),"A",IF(AND(I23&gt;=7,G23&lt;1000),"B",IF(I23&gt;=6.5,"C","D"))))</f>
        <v>C</v>
      </c>
    </row>
    <row r="24" customFormat="false" ht="15" hidden="false" customHeight="false" outlineLevel="0" collapsed="false">
      <c r="A24" s="4" t="n">
        <v>22</v>
      </c>
      <c r="B24" s="4" t="s">
        <v>71</v>
      </c>
      <c r="C24" s="4" t="s">
        <v>68</v>
      </c>
      <c r="D24" s="4" t="s">
        <v>47</v>
      </c>
      <c r="E24" s="4" t="n">
        <v>1.25</v>
      </c>
      <c r="F24" s="4" t="n">
        <v>10</v>
      </c>
      <c r="G24" s="15" t="n">
        <f aca="false">E24*50+F24*30</f>
        <v>362.5</v>
      </c>
      <c r="H24" s="13" t="n">
        <f aca="false">G24*1350</f>
        <v>489375</v>
      </c>
      <c r="I24" s="7" t="n">
        <v>7.6</v>
      </c>
      <c r="J24" s="4" t="str">
        <f aca="false">IF(AND(I24&gt;=7.5,G24&lt;100),"S",IF(AND(I24&gt;=7.5,G24&lt;500),"A",IF(AND(I24&gt;=7,G24&lt;1000),"B",IF(I24&gt;=6.5,"C","D"))))</f>
        <v>A</v>
      </c>
    </row>
    <row r="25" customFormat="false" ht="15" hidden="false" customHeight="false" outlineLevel="0" collapsed="false">
      <c r="A25" s="8" t="n">
        <v>23</v>
      </c>
      <c r="B25" s="8" t="s">
        <v>67</v>
      </c>
      <c r="C25" s="8" t="s">
        <v>68</v>
      </c>
      <c r="D25" s="8" t="s">
        <v>47</v>
      </c>
      <c r="E25" s="8" t="n">
        <v>2</v>
      </c>
      <c r="F25" s="8" t="n">
        <v>12</v>
      </c>
      <c r="G25" s="14" t="n">
        <f aca="false">E25*50+F25*30</f>
        <v>460</v>
      </c>
      <c r="H25" s="12" t="n">
        <f aca="false">G25*1350</f>
        <v>621000</v>
      </c>
      <c r="I25" s="10" t="n">
        <v>7.95</v>
      </c>
      <c r="J25" s="8" t="str">
        <f aca="false">IF(AND(I25&gt;=7.5,G25&lt;100),"S",IF(AND(I25&gt;=7.5,G25&lt;500),"A",IF(AND(I25&gt;=7,G25&lt;1000),"B",IF(I25&gt;=6.5,"C","D"))))</f>
        <v>A</v>
      </c>
    </row>
    <row r="26" customFormat="false" ht="15" hidden="false" customHeight="false" outlineLevel="0" collapsed="false">
      <c r="A26" s="4" t="n">
        <v>24</v>
      </c>
      <c r="B26" s="4" t="s">
        <v>44</v>
      </c>
      <c r="C26" s="4" t="s">
        <v>45</v>
      </c>
      <c r="D26" s="4" t="s">
        <v>47</v>
      </c>
      <c r="E26" s="4" t="n">
        <v>1.75</v>
      </c>
      <c r="F26" s="4" t="n">
        <v>14</v>
      </c>
      <c r="G26" s="15" t="n">
        <f aca="false">E26*50+F26*30</f>
        <v>507.5</v>
      </c>
      <c r="H26" s="13" t="n">
        <f aca="false">G26*1350</f>
        <v>685125</v>
      </c>
      <c r="I26" s="7" t="n">
        <v>7.85</v>
      </c>
      <c r="J26" s="4" t="str">
        <f aca="false">IF(AND(I26&gt;=7.5,G26&lt;100),"S",IF(AND(I26&gt;=7.5,G26&lt;500),"A",IF(AND(I26&gt;=7,G26&lt;1000),"B",IF(I26&gt;=6.5,"C","D"))))</f>
        <v>B</v>
      </c>
    </row>
    <row r="27" customFormat="false" ht="23.85" hidden="false" customHeight="false" outlineLevel="0" collapsed="false">
      <c r="A27" s="8" t="n">
        <v>25</v>
      </c>
      <c r="B27" s="8" t="s">
        <v>65</v>
      </c>
      <c r="C27" s="8" t="s">
        <v>63</v>
      </c>
      <c r="D27" s="8" t="s">
        <v>47</v>
      </c>
      <c r="E27" s="8" t="n">
        <v>3</v>
      </c>
      <c r="F27" s="8" t="n">
        <v>15</v>
      </c>
      <c r="G27" s="14" t="n">
        <f aca="false">E27*50+F27*30</f>
        <v>600</v>
      </c>
      <c r="H27" s="12" t="n">
        <f aca="false">G27*1350</f>
        <v>810000</v>
      </c>
      <c r="I27" s="10" t="n">
        <v>8.1</v>
      </c>
      <c r="J27" s="8" t="str">
        <f aca="false">IF(AND(I27&gt;=7.5,G27&lt;100),"S",IF(AND(I27&gt;=7.5,G27&lt;500),"A",IF(AND(I27&gt;=7,G27&lt;1000),"B",IF(I27&gt;=6.5,"C","D"))))</f>
        <v>B</v>
      </c>
    </row>
    <row r="28" customFormat="false" ht="15" hidden="false" customHeight="false" outlineLevel="0" collapsed="false">
      <c r="A28" s="4" t="n">
        <v>26</v>
      </c>
      <c r="B28" s="4" t="s">
        <v>76</v>
      </c>
      <c r="C28" s="4" t="s">
        <v>77</v>
      </c>
      <c r="D28" s="4" t="s">
        <v>47</v>
      </c>
      <c r="E28" s="4" t="n">
        <v>3</v>
      </c>
      <c r="F28" s="4" t="n">
        <v>15</v>
      </c>
      <c r="G28" s="15" t="n">
        <f aca="false">E28*50+F28*30</f>
        <v>600</v>
      </c>
      <c r="H28" s="13" t="n">
        <f aca="false">G28*1350</f>
        <v>810000</v>
      </c>
      <c r="I28" s="7" t="n">
        <v>7.35</v>
      </c>
      <c r="J28" s="4" t="str">
        <f aca="false">IF(AND(I28&gt;=7.5,G28&lt;100),"S",IF(AND(I28&gt;=7.5,G28&lt;500),"A",IF(AND(I28&gt;=7,G28&lt;1000),"B",IF(I28&gt;=6.5,"C","D"))))</f>
        <v>B</v>
      </c>
    </row>
    <row r="29" customFormat="false" ht="15" hidden="false" customHeight="false" outlineLevel="0" collapsed="false">
      <c r="A29" s="8" t="n">
        <v>27</v>
      </c>
      <c r="B29" s="8" t="s">
        <v>62</v>
      </c>
      <c r="C29" s="8" t="s">
        <v>63</v>
      </c>
      <c r="D29" s="8" t="s">
        <v>47</v>
      </c>
      <c r="E29" s="8" t="n">
        <v>5</v>
      </c>
      <c r="F29" s="8" t="n">
        <v>25</v>
      </c>
      <c r="G29" s="14" t="n">
        <f aca="false">E29*50+F29*30</f>
        <v>1000</v>
      </c>
      <c r="H29" s="12" t="n">
        <f aca="false">G29*1350</f>
        <v>1350000</v>
      </c>
      <c r="I29" s="10" t="n">
        <v>7.6</v>
      </c>
      <c r="J29" s="8" t="str">
        <f aca="false">IF(AND(I29&gt;=7.5,G29&lt;100),"S",IF(AND(I29&gt;=7.5,G29&lt;500),"A",IF(AND(I29&gt;=7,G29&lt;1000),"B",IF(I29&gt;=6.5,"C","D"))))</f>
        <v>C</v>
      </c>
    </row>
    <row r="30" customFormat="false" ht="15" hidden="false" customHeight="false" outlineLevel="0" collapsed="false">
      <c r="A30" s="4" t="n">
        <v>28</v>
      </c>
      <c r="B30" s="4" t="s">
        <v>52</v>
      </c>
      <c r="C30" s="4" t="s">
        <v>45</v>
      </c>
      <c r="D30" s="4" t="s">
        <v>47</v>
      </c>
      <c r="E30" s="4" t="n">
        <v>21</v>
      </c>
      <c r="F30" s="4" t="n">
        <v>168</v>
      </c>
      <c r="G30" s="15" t="n">
        <f aca="false">E30*50+F30*30</f>
        <v>6090</v>
      </c>
      <c r="H30" s="13" t="n">
        <f aca="false">G30*1350</f>
        <v>8221500</v>
      </c>
      <c r="I30" s="7" t="n">
        <v>6.8</v>
      </c>
      <c r="J30" s="4" t="str">
        <f aca="false">IF(AND(I30&gt;=7.5,G30&lt;100),"S",IF(AND(I30&gt;=7.5,G30&lt;500),"A",IF(AND(I30&gt;=7,G30&lt;1000),"B",IF(I30&gt;=6.5,"C","D"))))</f>
        <v>C</v>
      </c>
    </row>
    <row r="31" customFormat="false" ht="15" hidden="false" customHeight="false" outlineLevel="0" collapsed="false">
      <c r="A31" s="8" t="n">
        <v>29</v>
      </c>
      <c r="B31" s="8" t="s">
        <v>60</v>
      </c>
      <c r="C31" s="8" t="s">
        <v>45</v>
      </c>
      <c r="D31" s="8" t="s">
        <v>47</v>
      </c>
      <c r="E31" s="8" t="n">
        <v>150</v>
      </c>
      <c r="F31" s="8" t="n">
        <v>600</v>
      </c>
      <c r="G31" s="14" t="n">
        <f aca="false">E31*50+F31*30</f>
        <v>25500</v>
      </c>
      <c r="H31" s="12" t="n">
        <f aca="false">G31*1350</f>
        <v>34425000</v>
      </c>
      <c r="I31" s="10" t="n">
        <v>6.8</v>
      </c>
      <c r="J31" s="8" t="str">
        <f aca="false">IF(AND(I31&gt;=7.5,G31&lt;100),"S",IF(AND(I31&gt;=7.5,G31&lt;500),"A",IF(AND(I31&gt;=7,G31&lt;1000),"B",IF(I31&gt;=6.5,"C","D"))))</f>
        <v>C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40"/>
  </cols>
  <sheetData>
    <row r="1" customFormat="false" ht="17.9" hidden="false" customHeight="false" outlineLevel="0" collapsed="false">
      <c r="A1" s="1" t="s">
        <v>154</v>
      </c>
      <c r="B1" s="1"/>
      <c r="C1" s="1"/>
      <c r="D1" s="1"/>
      <c r="E1" s="1"/>
    </row>
    <row r="2" customFormat="false" ht="15" hidden="false" customHeight="false" outlineLevel="0" collapsed="false">
      <c r="A2" s="3" t="s">
        <v>155</v>
      </c>
      <c r="B2" s="3" t="s">
        <v>156</v>
      </c>
      <c r="C2" s="3" t="s">
        <v>157</v>
      </c>
      <c r="D2" s="3" t="s">
        <v>158</v>
      </c>
      <c r="E2" s="3" t="s">
        <v>159</v>
      </c>
    </row>
    <row r="3" customFormat="false" ht="15" hidden="false" customHeight="false" outlineLevel="0" collapsed="false">
      <c r="A3" s="16" t="s">
        <v>160</v>
      </c>
      <c r="B3" s="16" t="s">
        <v>9</v>
      </c>
      <c r="C3" s="8" t="s">
        <v>161</v>
      </c>
      <c r="D3" s="16" t="s">
        <v>162</v>
      </c>
      <c r="E3" s="17" t="s">
        <v>163</v>
      </c>
    </row>
    <row r="4" customFormat="false" ht="15" hidden="false" customHeight="false" outlineLevel="0" collapsed="false">
      <c r="A4" s="18" t="s">
        <v>160</v>
      </c>
      <c r="B4" s="18" t="s">
        <v>10</v>
      </c>
      <c r="C4" s="4" t="s">
        <v>164</v>
      </c>
      <c r="D4" s="18" t="s">
        <v>165</v>
      </c>
      <c r="E4" s="19" t="s">
        <v>166</v>
      </c>
    </row>
    <row r="5" customFormat="false" ht="15" hidden="false" customHeight="false" outlineLevel="0" collapsed="false">
      <c r="A5" s="16" t="s">
        <v>160</v>
      </c>
      <c r="B5" s="16" t="s">
        <v>11</v>
      </c>
      <c r="C5" s="8" t="s">
        <v>167</v>
      </c>
      <c r="D5" s="16" t="s">
        <v>165</v>
      </c>
      <c r="E5" s="17" t="s">
        <v>168</v>
      </c>
    </row>
    <row r="6" customFormat="false" ht="23.85" hidden="false" customHeight="false" outlineLevel="0" collapsed="false">
      <c r="A6" s="18" t="s">
        <v>160</v>
      </c>
      <c r="B6" s="18" t="s">
        <v>12</v>
      </c>
      <c r="C6" s="4" t="s">
        <v>169</v>
      </c>
      <c r="D6" s="18" t="s">
        <v>165</v>
      </c>
      <c r="E6" s="19" t="s">
        <v>170</v>
      </c>
    </row>
    <row r="7" customFormat="false" ht="23.85" hidden="false" customHeight="false" outlineLevel="0" collapsed="false">
      <c r="A7" s="16" t="s">
        <v>160</v>
      </c>
      <c r="B7" s="16" t="s">
        <v>13</v>
      </c>
      <c r="C7" s="8" t="s">
        <v>171</v>
      </c>
      <c r="D7" s="16" t="s">
        <v>165</v>
      </c>
      <c r="E7" s="17" t="s">
        <v>172</v>
      </c>
    </row>
    <row r="8" customFormat="false" ht="15" hidden="false" customHeight="false" outlineLevel="0" collapsed="false">
      <c r="A8" s="18" t="s">
        <v>160</v>
      </c>
      <c r="B8" s="18" t="s">
        <v>14</v>
      </c>
      <c r="C8" s="4" t="s">
        <v>173</v>
      </c>
      <c r="D8" s="18" t="s">
        <v>174</v>
      </c>
      <c r="E8" s="19" t="s">
        <v>175</v>
      </c>
    </row>
    <row r="9" customFormat="false" ht="15" hidden="false" customHeight="false" outlineLevel="0" collapsed="false">
      <c r="A9" s="16" t="s">
        <v>160</v>
      </c>
      <c r="B9" s="16" t="s">
        <v>15</v>
      </c>
      <c r="C9" s="8" t="s">
        <v>176</v>
      </c>
      <c r="D9" s="16" t="s">
        <v>165</v>
      </c>
      <c r="E9" s="17" t="s">
        <v>177</v>
      </c>
    </row>
    <row r="10" customFormat="false" ht="15" hidden="false" customHeight="false" outlineLevel="0" collapsed="false">
      <c r="A10" s="18" t="s">
        <v>160</v>
      </c>
      <c r="B10" s="18" t="s">
        <v>16</v>
      </c>
      <c r="C10" s="4" t="s">
        <v>176</v>
      </c>
      <c r="D10" s="18" t="s">
        <v>165</v>
      </c>
      <c r="E10" s="19" t="s">
        <v>178</v>
      </c>
    </row>
    <row r="11" customFormat="false" ht="15" hidden="false" customHeight="false" outlineLevel="0" collapsed="false">
      <c r="A11" s="16" t="s">
        <v>160</v>
      </c>
      <c r="B11" s="16" t="s">
        <v>17</v>
      </c>
      <c r="C11" s="8" t="s">
        <v>179</v>
      </c>
      <c r="D11" s="16" t="s">
        <v>174</v>
      </c>
      <c r="E11" s="17" t="s">
        <v>180</v>
      </c>
    </row>
    <row r="12" customFormat="false" ht="15" hidden="false" customHeight="false" outlineLevel="0" collapsed="false">
      <c r="A12" s="18" t="s">
        <v>160</v>
      </c>
      <c r="B12" s="18" t="s">
        <v>18</v>
      </c>
      <c r="C12" s="4" t="s">
        <v>179</v>
      </c>
      <c r="D12" s="18" t="s">
        <v>174</v>
      </c>
      <c r="E12" s="19" t="s">
        <v>181</v>
      </c>
    </row>
    <row r="13" customFormat="false" ht="15" hidden="false" customHeight="false" outlineLevel="0" collapsed="false">
      <c r="A13" s="16" t="s">
        <v>160</v>
      </c>
      <c r="B13" s="16" t="s">
        <v>19</v>
      </c>
      <c r="C13" s="8" t="s">
        <v>182</v>
      </c>
      <c r="D13" s="16" t="s">
        <v>174</v>
      </c>
      <c r="E13" s="17" t="s">
        <v>183</v>
      </c>
    </row>
    <row r="14" customFormat="false" ht="15" hidden="false" customHeight="false" outlineLevel="0" collapsed="false">
      <c r="A14" s="18" t="s">
        <v>160</v>
      </c>
      <c r="B14" s="18" t="s">
        <v>20</v>
      </c>
      <c r="C14" s="4" t="s">
        <v>184</v>
      </c>
      <c r="D14" s="18" t="s">
        <v>174</v>
      </c>
      <c r="E14" s="18" t="s">
        <v>185</v>
      </c>
    </row>
    <row r="15" customFormat="false" ht="15" hidden="false" customHeight="false" outlineLevel="0" collapsed="false">
      <c r="A15" s="16" t="s">
        <v>160</v>
      </c>
      <c r="B15" s="16" t="s">
        <v>21</v>
      </c>
      <c r="C15" s="8" t="s">
        <v>184</v>
      </c>
      <c r="D15" s="16" t="s">
        <v>165</v>
      </c>
      <c r="E15" s="16" t="s">
        <v>186</v>
      </c>
    </row>
    <row r="16" customFormat="false" ht="15" hidden="false" customHeight="false" outlineLevel="0" collapsed="false">
      <c r="A16" s="18" t="s">
        <v>160</v>
      </c>
      <c r="B16" s="18" t="s">
        <v>22</v>
      </c>
      <c r="C16" s="4" t="s">
        <v>184</v>
      </c>
      <c r="D16" s="18" t="s">
        <v>165</v>
      </c>
      <c r="E16" s="18" t="s">
        <v>187</v>
      </c>
    </row>
    <row r="17" customFormat="false" ht="15" hidden="false" customHeight="false" outlineLevel="0" collapsed="false">
      <c r="A17" s="16" t="s">
        <v>160</v>
      </c>
      <c r="B17" s="16" t="s">
        <v>23</v>
      </c>
      <c r="C17" s="8" t="s">
        <v>188</v>
      </c>
      <c r="D17" s="16" t="s">
        <v>165</v>
      </c>
      <c r="E17" s="17" t="s">
        <v>189</v>
      </c>
    </row>
    <row r="18" customFormat="false" ht="15" hidden="false" customHeight="false" outlineLevel="0" collapsed="false">
      <c r="A18" s="18" t="s">
        <v>160</v>
      </c>
      <c r="B18" s="18" t="s">
        <v>24</v>
      </c>
      <c r="C18" s="4" t="s">
        <v>190</v>
      </c>
      <c r="D18" s="18" t="s">
        <v>165</v>
      </c>
      <c r="E18" s="18" t="s">
        <v>191</v>
      </c>
    </row>
    <row r="19" customFormat="false" ht="15" hidden="false" customHeight="false" outlineLevel="0" collapsed="false">
      <c r="A19" s="16" t="s">
        <v>160</v>
      </c>
      <c r="B19" s="16" t="s">
        <v>25</v>
      </c>
      <c r="C19" s="8" t="s">
        <v>176</v>
      </c>
      <c r="D19" s="16" t="s">
        <v>165</v>
      </c>
      <c r="E19" s="17" t="s">
        <v>192</v>
      </c>
    </row>
    <row r="20" customFormat="false" ht="23.85" hidden="false" customHeight="false" outlineLevel="0" collapsed="false">
      <c r="A20" s="18" t="s">
        <v>160</v>
      </c>
      <c r="B20" s="18" t="s">
        <v>26</v>
      </c>
      <c r="C20" s="4" t="s">
        <v>193</v>
      </c>
      <c r="D20" s="18" t="s">
        <v>165</v>
      </c>
      <c r="E20" s="19" t="s">
        <v>194</v>
      </c>
    </row>
    <row r="21" customFormat="false" ht="15" hidden="false" customHeight="false" outlineLevel="0" collapsed="false">
      <c r="A21" s="16" t="s">
        <v>160</v>
      </c>
      <c r="B21" s="16" t="s">
        <v>27</v>
      </c>
      <c r="C21" s="8" t="s">
        <v>195</v>
      </c>
      <c r="D21" s="16" t="s">
        <v>165</v>
      </c>
      <c r="E21" s="17" t="s">
        <v>196</v>
      </c>
    </row>
    <row r="22" customFormat="false" ht="15" hidden="false" customHeight="false" outlineLevel="0" collapsed="false">
      <c r="A22" s="18" t="s">
        <v>160</v>
      </c>
      <c r="B22" s="18" t="s">
        <v>28</v>
      </c>
      <c r="C22" s="4" t="s">
        <v>195</v>
      </c>
      <c r="D22" s="18" t="s">
        <v>165</v>
      </c>
      <c r="E22" s="18" t="s">
        <v>197</v>
      </c>
    </row>
    <row r="23" customFormat="false" ht="15" hidden="false" customHeight="false" outlineLevel="0" collapsed="false">
      <c r="A23" s="16" t="s">
        <v>160</v>
      </c>
      <c r="B23" s="16" t="s">
        <v>29</v>
      </c>
      <c r="C23" s="8" t="s">
        <v>195</v>
      </c>
      <c r="D23" s="16" t="s">
        <v>165</v>
      </c>
      <c r="E23" s="16" t="s">
        <v>198</v>
      </c>
    </row>
    <row r="24" customFormat="false" ht="15" hidden="false" customHeight="false" outlineLevel="0" collapsed="false">
      <c r="A24" s="18" t="s">
        <v>160</v>
      </c>
      <c r="B24" s="18" t="s">
        <v>30</v>
      </c>
      <c r="C24" s="4" t="s">
        <v>199</v>
      </c>
      <c r="D24" s="18" t="s">
        <v>165</v>
      </c>
      <c r="E24" s="19" t="s">
        <v>200</v>
      </c>
    </row>
    <row r="25" customFormat="false" ht="15" hidden="false" customHeight="false" outlineLevel="0" collapsed="false">
      <c r="A25" s="16" t="s">
        <v>160</v>
      </c>
      <c r="B25" s="16" t="s">
        <v>31</v>
      </c>
      <c r="C25" s="8" t="s">
        <v>173</v>
      </c>
      <c r="D25" s="16" t="s">
        <v>165</v>
      </c>
      <c r="E25" s="17" t="s">
        <v>201</v>
      </c>
    </row>
    <row r="26" customFormat="false" ht="15" hidden="false" customHeight="false" outlineLevel="0" collapsed="false">
      <c r="A26" s="18" t="s">
        <v>160</v>
      </c>
      <c r="B26" s="18" t="s">
        <v>32</v>
      </c>
      <c r="C26" s="4" t="s">
        <v>164</v>
      </c>
      <c r="D26" s="18" t="s">
        <v>165</v>
      </c>
      <c r="E26" s="19" t="s">
        <v>202</v>
      </c>
    </row>
    <row r="27" customFormat="false" ht="15" hidden="false" customHeight="false" outlineLevel="0" collapsed="false">
      <c r="A27" s="16" t="s">
        <v>160</v>
      </c>
      <c r="B27" s="16" t="s">
        <v>33</v>
      </c>
      <c r="C27" s="8" t="s">
        <v>195</v>
      </c>
      <c r="D27" s="16" t="s">
        <v>165</v>
      </c>
      <c r="E27" s="17" t="s">
        <v>203</v>
      </c>
    </row>
    <row r="28" customFormat="false" ht="15" hidden="false" customHeight="false" outlineLevel="0" collapsed="false">
      <c r="A28" s="18" t="s">
        <v>160</v>
      </c>
      <c r="B28" s="18" t="s">
        <v>34</v>
      </c>
      <c r="C28" s="4" t="s">
        <v>195</v>
      </c>
      <c r="D28" s="18" t="s">
        <v>165</v>
      </c>
      <c r="E28" s="18" t="s">
        <v>204</v>
      </c>
    </row>
    <row r="29" customFormat="false" ht="15" hidden="false" customHeight="false" outlineLevel="0" collapsed="false">
      <c r="A29" s="16" t="s">
        <v>160</v>
      </c>
      <c r="B29" s="16" t="s">
        <v>35</v>
      </c>
      <c r="C29" s="8" t="s">
        <v>205</v>
      </c>
      <c r="D29" s="16" t="s">
        <v>206</v>
      </c>
      <c r="E29" s="16" t="s">
        <v>207</v>
      </c>
    </row>
    <row r="30" customFormat="false" ht="15" hidden="false" customHeight="false" outlineLevel="0" collapsed="false">
      <c r="A30" s="18" t="s">
        <v>160</v>
      </c>
      <c r="B30" s="18" t="s">
        <v>36</v>
      </c>
      <c r="C30" s="4" t="s">
        <v>205</v>
      </c>
      <c r="D30" s="18" t="s">
        <v>206</v>
      </c>
      <c r="E30" s="18" t="s">
        <v>208</v>
      </c>
    </row>
    <row r="31" customFormat="false" ht="15" hidden="false" customHeight="false" outlineLevel="0" collapsed="false">
      <c r="A31" s="16" t="s">
        <v>160</v>
      </c>
      <c r="B31" s="16" t="s">
        <v>37</v>
      </c>
      <c r="C31" s="8" t="s">
        <v>205</v>
      </c>
      <c r="D31" s="16" t="s">
        <v>206</v>
      </c>
      <c r="E31" s="16" t="s">
        <v>209</v>
      </c>
    </row>
    <row r="32" customFormat="false" ht="15" hidden="false" customHeight="false" outlineLevel="0" collapsed="false">
      <c r="A32" s="18" t="s">
        <v>160</v>
      </c>
      <c r="B32" s="18" t="s">
        <v>38</v>
      </c>
      <c r="C32" s="4" t="s">
        <v>205</v>
      </c>
      <c r="D32" s="18" t="s">
        <v>206</v>
      </c>
      <c r="E32" s="18" t="s">
        <v>210</v>
      </c>
    </row>
    <row r="33" customFormat="false" ht="15" hidden="false" customHeight="false" outlineLevel="0" collapsed="false">
      <c r="A33" s="16" t="s">
        <v>160</v>
      </c>
      <c r="B33" s="16" t="s">
        <v>39</v>
      </c>
      <c r="C33" s="8" t="s">
        <v>205</v>
      </c>
      <c r="D33" s="16" t="s">
        <v>206</v>
      </c>
      <c r="E33" s="16" t="s">
        <v>211</v>
      </c>
    </row>
    <row r="34" customFormat="false" ht="15" hidden="false" customHeight="false" outlineLevel="0" collapsed="false">
      <c r="A34" s="18" t="s">
        <v>160</v>
      </c>
      <c r="B34" s="18" t="s">
        <v>40</v>
      </c>
      <c r="C34" s="4" t="s">
        <v>205</v>
      </c>
      <c r="D34" s="18" t="s">
        <v>206</v>
      </c>
      <c r="E34" s="18" t="s">
        <v>212</v>
      </c>
    </row>
    <row r="35" customFormat="false" ht="15" hidden="false" customHeight="false" outlineLevel="0" collapsed="false">
      <c r="A35" s="16" t="s">
        <v>160</v>
      </c>
      <c r="B35" s="16" t="s">
        <v>41</v>
      </c>
      <c r="C35" s="8" t="s">
        <v>205</v>
      </c>
      <c r="D35" s="16" t="s">
        <v>206</v>
      </c>
      <c r="E35" s="16" t="s">
        <v>213</v>
      </c>
    </row>
    <row r="36" customFormat="false" ht="15" hidden="false" customHeight="false" outlineLevel="0" collapsed="false">
      <c r="A36" s="18" t="s">
        <v>160</v>
      </c>
      <c r="B36" s="18" t="s">
        <v>42</v>
      </c>
      <c r="C36" s="4" t="s">
        <v>205</v>
      </c>
      <c r="D36" s="18" t="s">
        <v>206</v>
      </c>
      <c r="E36" s="18" t="s">
        <v>214</v>
      </c>
    </row>
    <row r="37" customFormat="false" ht="15" hidden="false" customHeight="false" outlineLevel="0" collapsed="false">
      <c r="A37" s="16" t="s">
        <v>160</v>
      </c>
      <c r="B37" s="16" t="s">
        <v>43</v>
      </c>
      <c r="C37" s="8" t="s">
        <v>188</v>
      </c>
      <c r="D37" s="16" t="s">
        <v>215</v>
      </c>
      <c r="E37" s="16" t="s">
        <v>216</v>
      </c>
    </row>
    <row r="38" customFormat="false" ht="15" hidden="false" customHeight="false" outlineLevel="0" collapsed="false">
      <c r="A38" s="18" t="s">
        <v>217</v>
      </c>
      <c r="B38" s="18" t="s">
        <v>9</v>
      </c>
      <c r="C38" s="4" t="s">
        <v>161</v>
      </c>
      <c r="D38" s="18" t="s">
        <v>218</v>
      </c>
      <c r="E38" s="18" t="s">
        <v>219</v>
      </c>
    </row>
    <row r="39" customFormat="false" ht="15" hidden="false" customHeight="false" outlineLevel="0" collapsed="false">
      <c r="A39" s="16" t="s">
        <v>217</v>
      </c>
      <c r="B39" s="16" t="s">
        <v>122</v>
      </c>
      <c r="C39" s="8" t="s">
        <v>220</v>
      </c>
      <c r="D39" s="16" t="s">
        <v>165</v>
      </c>
      <c r="E39" s="16" t="s">
        <v>221</v>
      </c>
    </row>
    <row r="40" customFormat="false" ht="15" hidden="false" customHeight="false" outlineLevel="0" collapsed="false">
      <c r="A40" s="18" t="s">
        <v>217</v>
      </c>
      <c r="B40" s="18" t="s">
        <v>123</v>
      </c>
      <c r="C40" s="4" t="s">
        <v>173</v>
      </c>
      <c r="D40" s="18" t="s">
        <v>165</v>
      </c>
      <c r="E40" s="18" t="s">
        <v>222</v>
      </c>
    </row>
    <row r="41" customFormat="false" ht="15" hidden="false" customHeight="false" outlineLevel="0" collapsed="false">
      <c r="A41" s="16" t="s">
        <v>217</v>
      </c>
      <c r="B41" s="16" t="s">
        <v>124</v>
      </c>
      <c r="C41" s="8" t="s">
        <v>173</v>
      </c>
      <c r="D41" s="16" t="s">
        <v>165</v>
      </c>
      <c r="E41" s="17" t="s">
        <v>223</v>
      </c>
    </row>
    <row r="42" customFormat="false" ht="15" hidden="false" customHeight="false" outlineLevel="0" collapsed="false">
      <c r="A42" s="18" t="s">
        <v>224</v>
      </c>
      <c r="B42" s="18" t="s">
        <v>9</v>
      </c>
      <c r="C42" s="4" t="s">
        <v>161</v>
      </c>
      <c r="D42" s="18" t="s">
        <v>218</v>
      </c>
      <c r="E42" s="18" t="s">
        <v>225</v>
      </c>
    </row>
    <row r="43" customFormat="false" ht="15" hidden="false" customHeight="false" outlineLevel="0" collapsed="false">
      <c r="A43" s="16" t="s">
        <v>224</v>
      </c>
      <c r="B43" s="16" t="s">
        <v>134</v>
      </c>
      <c r="C43" s="8" t="s">
        <v>173</v>
      </c>
      <c r="D43" s="16" t="s">
        <v>165</v>
      </c>
      <c r="E43" s="17" t="s">
        <v>226</v>
      </c>
    </row>
    <row r="44" customFormat="false" ht="23.85" hidden="false" customHeight="false" outlineLevel="0" collapsed="false">
      <c r="A44" s="18" t="s">
        <v>224</v>
      </c>
      <c r="B44" s="18" t="s">
        <v>135</v>
      </c>
      <c r="C44" s="4" t="s">
        <v>227</v>
      </c>
      <c r="D44" s="18" t="s">
        <v>165</v>
      </c>
      <c r="E44" s="19" t="s">
        <v>228</v>
      </c>
    </row>
    <row r="45" customFormat="false" ht="15" hidden="false" customHeight="false" outlineLevel="0" collapsed="false">
      <c r="A45" s="16" t="s">
        <v>224</v>
      </c>
      <c r="B45" s="16" t="s">
        <v>136</v>
      </c>
      <c r="C45" s="8" t="s">
        <v>173</v>
      </c>
      <c r="D45" s="16" t="s">
        <v>165</v>
      </c>
      <c r="E45" s="16" t="s">
        <v>229</v>
      </c>
    </row>
    <row r="46" customFormat="false" ht="15" hidden="false" customHeight="false" outlineLevel="0" collapsed="false">
      <c r="A46" s="18" t="s">
        <v>224</v>
      </c>
      <c r="B46" s="18" t="s">
        <v>137</v>
      </c>
      <c r="C46" s="4" t="s">
        <v>176</v>
      </c>
      <c r="D46" s="18" t="s">
        <v>165</v>
      </c>
      <c r="E46" s="19" t="s">
        <v>230</v>
      </c>
    </row>
    <row r="47" customFormat="false" ht="15" hidden="false" customHeight="false" outlineLevel="0" collapsed="false">
      <c r="A47" s="16" t="s">
        <v>224</v>
      </c>
      <c r="B47" s="16" t="s">
        <v>138</v>
      </c>
      <c r="C47" s="8" t="s">
        <v>176</v>
      </c>
      <c r="D47" s="16" t="s">
        <v>165</v>
      </c>
      <c r="E47" s="17" t="s">
        <v>231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2026-03-11T04:19:57Z</dcterms:created>
  <dc:creator>openpyxl</dc:creator>
  <dc:description/>
  <dc:language>en-US</dc:language>
  <cp:lastModifiedBy/>
  <dcterms:modified xsi:type="dcterms:W3CDTF">2026-03-11T04:19:57Z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